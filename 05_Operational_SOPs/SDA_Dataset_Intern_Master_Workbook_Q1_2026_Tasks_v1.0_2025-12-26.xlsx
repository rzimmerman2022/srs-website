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⚠️ READ FIRST" sheetId="1" state="visible" r:id="rId3"/>
    <sheet name="📅 Tasks &amp; Timeline" sheetId="2" state="visible" r:id="rId4"/>
    <sheet name="📁 Source Doc Index" sheetId="3" state="visible" r:id="rId5"/>
    <sheet name="✈️ Pre-Flight Check" sheetId="4" state="visible" r:id="rId6"/>
    <sheet name="📋 Program Facts" sheetId="5" state="visible" r:id="rId7"/>
    <sheet name="📄 Proof Sheets" sheetId="6" state="visible" r:id="rId8"/>
    <sheet name="🔑 CEO Inputs" sheetId="7" state="visible" r:id="rId9"/>
    <sheet name="🧮 SEP-IRA Calc" sheetId="8" state="visible" r:id="rId10"/>
    <sheet name="🧮 HSA Calc" sheetId="9" state="visible" r:id="rId11"/>
    <sheet name="🧮 Home Office Calc" sheetId="10" state="visible" r:id="rId12"/>
    <sheet name="🧮 Vehicle Calc" sheetId="11" state="visible" r:id="rId13"/>
    <sheet name="🧮 Health Ins Calc" sheetId="12" state="visible" r:id="rId14"/>
    <sheet name="🧮 QBI Calc" sheetId="13" state="visible" r:id="rId15"/>
    <sheet name="🧮 Tax Summary" sheetId="14" state="visible" r:id="rId16"/>
    <sheet name="🏭 Vendor Whitelist" sheetId="15" state="visible" r:id="rId17"/>
    <sheet name="🔍 R&amp;D Keywords" sheetId="16" state="visible" r:id="rId18"/>
    <sheet name="💀 Grant Kill List" sheetId="17" state="visible" r:id="rId19"/>
    <sheet name="🚨 Escalation Log" sheetId="18" state="visible" r:id="rId20"/>
    <sheet name="📝 Daily Check-In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<sst xmlns="http://schemas.openxmlformats.org/spreadsheetml/2006/main" count="870" uniqueCount="615">
  <si>
    <t xml:space="preserve">Q1 2026 RESEARCH PROJECT - MASTER WORKBOOK</t>
  </si>
  <si>
    <t xml:space="preserve">ALL DELIVERABLES DUE: EOD FRIDAY, DECEMBER 27, 2025</t>
  </si>
  <si>
    <t xml:space="preserve">7 NON-NEGOTIABLE RULES</t>
  </si>
  <si>
    <t xml:space="preserve">Rule 1:</t>
  </si>
  <si>
    <t xml:space="preserve">Every claim needs a source. If you can't cite it, don't include it.</t>
  </si>
  <si>
    <t xml:space="preserve">Rule 2:</t>
  </si>
  <si>
    <t xml:space="preserve">Time boxes are hard limits. When you hit the limit, STOP and report status.</t>
  </si>
  <si>
    <t xml:space="preserve">Rule 3:</t>
  </si>
  <si>
    <t xml:space="preserve">No guessing on eligibility. Flag as 'UNCERTAIN - CEO REVIEW' and move on.</t>
  </si>
  <si>
    <t xml:space="preserve">Rule 4:</t>
  </si>
  <si>
    <t xml:space="preserve">No account creation or form submission. You prepare artifacts. I execute.</t>
  </si>
  <si>
    <t xml:space="preserve">Rule 5:</t>
  </si>
  <si>
    <t xml:space="preserve">No access to sensitive data. If a task seems to need it, escalate immediately.</t>
  </si>
  <si>
    <t xml:space="preserve">Rule 6:</t>
  </si>
  <si>
    <t xml:space="preserve">Quote exact language from sources. Don't paraphrase requirements.</t>
  </si>
  <si>
    <t xml:space="preserve">Rule 7:</t>
  </si>
  <si>
    <t xml:space="preserve">Document what you can't find. Gaps in information ARE information.</t>
  </si>
  <si>
    <t xml:space="preserve">ESCALATION TRIGGERS - Message Slack IMMEDIATELY if:</t>
  </si>
  <si>
    <t xml:space="preserve">• Time box exceeded and task isn't done</t>
  </si>
  <si>
    <t xml:space="preserve">• You need information that isn't publicly available</t>
  </si>
  <si>
    <t xml:space="preserve">• Eligibility language is ambiguous</t>
  </si>
  <si>
    <t xml:space="preserve">• You encounter a strategic decision point</t>
  </si>
  <si>
    <t xml:space="preserve">• Something suggests we might be misrepresenting ourselves</t>
  </si>
  <si>
    <t xml:space="preserve">DAILY CHECK-IN SCHEDULE</t>
  </si>
  <si>
    <t xml:space="preserve">Day</t>
  </si>
  <si>
    <t xml:space="preserve">Deadline</t>
  </si>
  <si>
    <t xml:space="preserve">Milestone</t>
  </si>
  <si>
    <t xml:space="preserve">Mon Dec 23</t>
  </si>
  <si>
    <t xml:space="preserve">6:00 PM</t>
  </si>
  <si>
    <t xml:space="preserve">Task 0: Source Document Library complete?</t>
  </si>
  <si>
    <t xml:space="preserve">Tue Dec 24</t>
  </si>
  <si>
    <t xml:space="preserve">3:00 PM</t>
  </si>
  <si>
    <t xml:space="preserve">Tasks 1A-1D: Analysis deliverables complete?</t>
  </si>
  <si>
    <t xml:space="preserve">Wed Dec 25</t>
  </si>
  <si>
    <t xml:space="preserve">—</t>
  </si>
  <si>
    <t xml:space="preserve">Christmas (off)</t>
  </si>
  <si>
    <t xml:space="preserve">Thu Dec 26</t>
  </si>
  <si>
    <t xml:space="preserve">Tasks 2A-2D: Tools and applications drafted?</t>
  </si>
  <si>
    <t xml:space="preserve">Fri Dec 27</t>
  </si>
  <si>
    <t xml:space="preserve">5:00 PM</t>
  </si>
  <si>
    <t xml:space="preserve">FINAL: All deliverables submitted</t>
  </si>
  <si>
    <t xml:space="preserve">CHECK-IN FORMAT (Slack message):</t>
  </si>
  <si>
    <t xml:space="preserve">1. COMPLETED: Task IDs and brief status</t>
  </si>
  <si>
    <t xml:space="preserve">2. BLOCKED: What you couldn't complete and why</t>
  </si>
  <si>
    <t xml:space="preserve">3. TOMORROW: What you'll work on next</t>
  </si>
  <si>
    <t xml:space="preserve">4. QUESTIONS: Anything you need clarification on</t>
  </si>
  <si>
    <t xml:space="preserve">KEY BOOKMARKS</t>
  </si>
  <si>
    <t xml:space="preserve">Source</t>
  </si>
  <si>
    <t xml:space="preserve">URL / Path</t>
  </si>
  <si>
    <t xml:space="preserve">Federal Legislation</t>
  </si>
  <si>
    <t xml:space="preserve">govinfo.gov → Public Laws → P.L. 119-21</t>
  </si>
  <si>
    <t xml:space="preserve">IRS Guidance</t>
  </si>
  <si>
    <t xml:space="preserve">irs.gov → Publications 560, 969, 587, 463, 946</t>
  </si>
  <si>
    <t xml:space="preserve">AWS Activate</t>
  </si>
  <si>
    <t xml:space="preserve">aws.amazon.com/activate</t>
  </si>
  <si>
    <t xml:space="preserve">Google for Startups</t>
  </si>
  <si>
    <t xml:space="preserve">cloud.google.com/startup</t>
  </si>
  <si>
    <t xml:space="preserve">Microsoft Founders Hub</t>
  </si>
  <si>
    <t xml:space="preserve">foundershub.startups.microsoft.com</t>
  </si>
  <si>
    <t xml:space="preserve">Arizona Tax Credits</t>
  </si>
  <si>
    <t xml:space="preserve">azdor.gov</t>
  </si>
  <si>
    <t xml:space="preserve">Arizona Grants</t>
  </si>
  <si>
    <t xml:space="preserve">azcommerce.com</t>
  </si>
  <si>
    <t xml:space="preserve">TASK TRACKER</t>
  </si>
  <si>
    <t xml:space="preserve">Task ID</t>
  </si>
  <si>
    <t xml:space="preserve">Deliverable</t>
  </si>
  <si>
    <t xml:space="preserve">Tier</t>
  </si>
  <si>
    <t xml:space="preserve">Time Budget</t>
  </si>
  <si>
    <t xml:space="preserve">Due Date</t>
  </si>
  <si>
    <t xml:space="preserve">Status</t>
  </si>
  <si>
    <t xml:space="preserve">% Complete</t>
  </si>
  <si>
    <t xml:space="preserve">Notes</t>
  </si>
  <si>
    <t xml:space="preserve">0</t>
  </si>
  <si>
    <t xml:space="preserve">Source Document Library + Index</t>
  </si>
  <si>
    <t xml:space="preserve">T2</t>
  </si>
  <si>
    <t xml:space="preserve">3 hrs</t>
  </si>
  <si>
    <t xml:space="preserve">Foundation - do this first</t>
  </si>
  <si>
    <t xml:space="preserve">1A</t>
  </si>
  <si>
    <t xml:space="preserve">OBBBA Lever Library</t>
  </si>
  <si>
    <t xml:space="preserve">2 hrs</t>
  </si>
  <si>
    <t xml:space="preserve">§174A, §179, §168k, §1202</t>
  </si>
  <si>
    <t xml:space="preserve">1B</t>
  </si>
  <si>
    <t xml:space="preserve">Arizona Credit Checklist</t>
  </si>
  <si>
    <t xml:space="preserve">T1</t>
  </si>
  <si>
    <t xml:space="preserve">1 hr</t>
  </si>
  <si>
    <t xml:space="preserve">Forms 321, 322, 323, 352</t>
  </si>
  <si>
    <t xml:space="preserve">1C</t>
  </si>
  <si>
    <t xml:space="preserve">Pre-Flight Verification</t>
  </si>
  <si>
    <t xml:space="preserve">6 applications × 6 questions</t>
  </si>
  <si>
    <t xml:space="preserve">1D</t>
  </si>
  <si>
    <t xml:space="preserve">Program Fact Sheets</t>
  </si>
  <si>
    <t xml:space="preserve">AWS, Google, Microsoft</t>
  </si>
  <si>
    <t xml:space="preserve">2A</t>
  </si>
  <si>
    <t xml:space="preserve">Tax Calculator Workbook</t>
  </si>
  <si>
    <t xml:space="preserve">7 worksheets with formulas</t>
  </si>
  <si>
    <t xml:space="preserve">2B</t>
  </si>
  <si>
    <t xml:space="preserve">CEO Data Collection Checklist</t>
  </si>
  <si>
    <t xml:space="preserve">T0</t>
  </si>
  <si>
    <t xml:space="preserve">30 min</t>
  </si>
  <si>
    <t xml:space="preserve">What Ryan needs to provide</t>
  </si>
  <si>
    <t xml:space="preserve">2C</t>
  </si>
  <si>
    <t xml:space="preserve">Blind Application Packets</t>
  </si>
  <si>
    <t xml:space="preserve">6 Word docs ready to submit</t>
  </si>
  <si>
    <t xml:space="preserve">2D</t>
  </si>
  <si>
    <t xml:space="preserve">Program Proof Sheets</t>
  </si>
  <si>
    <t xml:space="preserve">15 fields × 2 companies</t>
  </si>
  <si>
    <t xml:space="preserve">2E</t>
  </si>
  <si>
    <t xml:space="preserve">Vendor Whitelist + R&amp;D Keywords</t>
  </si>
  <si>
    <t xml:space="preserve">25 vendors + 50 keywords</t>
  </si>
  <si>
    <t xml:space="preserve">2F</t>
  </si>
  <si>
    <t xml:space="preserve">Grant Kill List</t>
  </si>
  <si>
    <t xml:space="preserve">Systematic elimination</t>
  </si>
  <si>
    <t xml:space="preserve">QA</t>
  </si>
  <si>
    <t xml:space="preserve">Review All Deliverables</t>
  </si>
  <si>
    <t xml:space="preserve">Final quality check</t>
  </si>
  <si>
    <t xml:space="preserve">3A</t>
  </si>
  <si>
    <t xml:space="preserve">High-Tier Program Research</t>
  </si>
  <si>
    <t xml:space="preserve">T3</t>
  </si>
  <si>
    <t xml:space="preserve">Fri Jan 10</t>
  </si>
  <si>
    <t xml:space="preserve">POST-HOLIDAY: CEO review required</t>
  </si>
  <si>
    <t xml:space="preserve">3B</t>
  </si>
  <si>
    <t xml:space="preserve">SBIR/STTR Viability</t>
  </si>
  <si>
    <t xml:space="preserve">TIER DEFINITIONS</t>
  </si>
  <si>
    <t xml:space="preserve">Time</t>
  </si>
  <si>
    <t xml:space="preserve">Description</t>
  </si>
  <si>
    <t xml:space="preserve">Escalation Rule</t>
  </si>
  <si>
    <t xml:space="preserve">15-30 min</t>
  </si>
  <si>
    <t xml:space="preserve">Simple lookup, binary yes/no</t>
  </si>
  <si>
    <t xml:space="preserve">If &gt;30 min, STOP and escalate</t>
  </si>
  <si>
    <t xml:space="preserve">1-2 hrs</t>
  </si>
  <si>
    <t xml:space="preserve">Structured form from known sources</t>
  </si>
  <si>
    <t xml:space="preserve">If &gt;2 hrs, STOP and escalate</t>
  </si>
  <si>
    <t xml:space="preserve">2-4 hrs</t>
  </si>
  <si>
    <t xml:space="preserve">Research synthesis, multiple sources</t>
  </si>
  <si>
    <t xml:space="preserve">If &gt;4 hrs, STOP and escalate</t>
  </si>
  <si>
    <t xml:space="preserve">4-8 hrs</t>
  </si>
  <si>
    <t xml:space="preserve">Strategic analysis, CEO review required</t>
  </si>
  <si>
    <t xml:space="preserve">Flag as CEO DECISION REQUIRED</t>
  </si>
  <si>
    <t xml:space="preserve">SOURCE DOCUMENT INDEX (Task 0F)</t>
  </si>
  <si>
    <t xml:space="preserve">Catalog every document you download. This is how I navigate the library.</t>
  </si>
  <si>
    <t xml:space="preserve">Filename</t>
  </si>
  <si>
    <t xml:space="preserve">Category</t>
  </si>
  <si>
    <t xml:space="preserve">Doc Type</t>
  </si>
  <si>
    <t xml:space="preserve">Source URL</t>
  </si>
  <si>
    <t xml:space="preserve">Date Downloaded</t>
  </si>
  <si>
    <t xml:space="preserve">Verified Auth?</t>
  </si>
  <si>
    <t xml:space="preserve">2025-07-04_GovInfo_PublicLaw_PL119-21_OBBBA.pdf</t>
  </si>
  <si>
    <t xml:space="preserve">Federal_Legislation</t>
  </si>
  <si>
    <t xml:space="preserve">Public Law</t>
  </si>
  <si>
    <t xml:space="preserve">govinfo.gov</t>
  </si>
  <si>
    <t xml:space="preserve">One Big Beautiful Bill Act</t>
  </si>
  <si>
    <t xml:space="preserve">Verify digital signature</t>
  </si>
  <si>
    <t xml:space="preserve">IRS_Guidance</t>
  </si>
  <si>
    <t xml:space="preserve">Publication</t>
  </si>
  <si>
    <t xml:space="preserve">irs.gov</t>
  </si>
  <si>
    <t xml:space="preserve">Publication 560 - SEP-IRA</t>
  </si>
  <si>
    <t xml:space="preserve">Publication 969 - HSA</t>
  </si>
  <si>
    <t xml:space="preserve">Publication 587 - Home Office</t>
  </si>
  <si>
    <t xml:space="preserve">Publication 463 - Vehicle/Travel</t>
  </si>
  <si>
    <t xml:space="preserve">Publication 946 - Depreciation</t>
  </si>
  <si>
    <t xml:space="preserve">Form</t>
  </si>
  <si>
    <t xml:space="preserve">Form 4562 + Instructions</t>
  </si>
  <si>
    <t xml:space="preserve">Form 8995 + Instructions - QBI</t>
  </si>
  <si>
    <t xml:space="preserve">IRB_Bulletin</t>
  </si>
  <si>
    <t xml:space="preserve">IRB 2025-38 / Rev Proc 2025-23</t>
  </si>
  <si>
    <t xml:space="preserve">Cloud_Programs</t>
  </si>
  <si>
    <t xml:space="preserve">Terms of Service</t>
  </si>
  <si>
    <t xml:space="preserve">AWS Activate Terms</t>
  </si>
  <si>
    <t xml:space="preserve">Eligibility</t>
  </si>
  <si>
    <t xml:space="preserve">AWS Activate Eligibility</t>
  </si>
  <si>
    <t xml:space="preserve">FAQ</t>
  </si>
  <si>
    <t xml:space="preserve">AWS Activate FAQ</t>
  </si>
  <si>
    <t xml:space="preserve">Google for Startups Terms</t>
  </si>
  <si>
    <t xml:space="preserve">Google for Startups Eligibility</t>
  </si>
  <si>
    <t xml:space="preserve">Google for Startups FAQ</t>
  </si>
  <si>
    <t xml:space="preserve">Microsoft Founders Hub Terms</t>
  </si>
  <si>
    <t xml:space="preserve">Microsoft Founders Hub Eligibility</t>
  </si>
  <si>
    <t xml:space="preserve">Microsoft Founders Hub FAQ</t>
  </si>
  <si>
    <t xml:space="preserve">Arizona_State</t>
  </si>
  <si>
    <t xml:space="preserve">Form 321 - QCO Credit</t>
  </si>
  <si>
    <t xml:space="preserve">Form 322 - Public School Credit</t>
  </si>
  <si>
    <t xml:space="preserve">Form 323 - Private School Credit</t>
  </si>
  <si>
    <t xml:space="preserve">Form 352 - QFCO Credit</t>
  </si>
  <si>
    <t xml:space="preserve">Grants</t>
  </si>
  <si>
    <t xml:space="preserve">Guidelines</t>
  </si>
  <si>
    <t xml:space="preserve">AZ Innovation Challenge</t>
  </si>
  <si>
    <t xml:space="preserve">AZ FAST Grant</t>
  </si>
  <si>
    <t xml:space="preserve">sbir.gov</t>
  </si>
  <si>
    <t xml:space="preserve">SBIR/STTR Overview</t>
  </si>
  <si>
    <t xml:space="preserve">CLOUD CREDIT PRE-FLIGHT VERIFICATION (Task 1C)</t>
  </si>
  <si>
    <t xml:space="preserve">Complete this table BEFORE any applications are submitted. Quote exact source language.</t>
  </si>
  <si>
    <t xml:space="preserve">Application</t>
  </si>
  <si>
    <t xml:space="preserve">Q1: LinkedIn Req?</t>
  </si>
  <si>
    <t xml:space="preserve">Q2: Website Req?</t>
  </si>
  <si>
    <t xml:space="preserve">Q3: Domain Email Req?</t>
  </si>
  <si>
    <t xml:space="preserve">Q4: Bootstrapped OK?</t>
  </si>
  <si>
    <t xml:space="preserve">Q5: Agency Exclusion?</t>
  </si>
  <si>
    <t xml:space="preserve">Q6: Credit Amount</t>
  </si>
  <si>
    <t xml:space="preserve">Source Docs</t>
  </si>
  <si>
    <t xml:space="preserve">Risk Flags</t>
  </si>
  <si>
    <t xml:space="preserve">Verdict</t>
  </si>
  <si>
    <t xml:space="preserve">AWS - SparkData Analytics</t>
  </si>
  <si>
    <t xml:space="preserve">AWS - Southwest Resume Services</t>
  </si>
  <si>
    <t xml:space="preserve">Google - SparkData Analytics</t>
  </si>
  <si>
    <t xml:space="preserve">Google - Southwest Resume Services</t>
  </si>
  <si>
    <t xml:space="preserve">Microsoft - SparkData Analytics</t>
  </si>
  <si>
    <t xml:space="preserve">Microsoft - Southwest Resume Services</t>
  </si>
  <si>
    <t xml:space="preserve">QUESTION GUIDANCE</t>
  </si>
  <si>
    <t xml:space="preserve">Q1 LinkedIn:</t>
  </si>
  <si>
    <t xml:space="preserve">Does program require LinkedIn company page? Answer: Yes/No. Source: [filename, page]</t>
  </si>
  <si>
    <t xml:space="preserve">Q2 Website:</t>
  </si>
  <si>
    <t xml:space="preserve">Does program require company website? Answer: Yes/No. If yes, note if domain email required.</t>
  </si>
  <si>
    <t xml:space="preserve">Q3 Domain Email:</t>
  </si>
  <si>
    <t xml:space="preserve">Does program require non-gmail email? Answer: Yes/No. Mark 'CEO INPUT NEEDED' if unknown.</t>
  </si>
  <si>
    <t xml:space="preserve">Q4 Bootstrapped:</t>
  </si>
  <si>
    <t xml:space="preserve">Are unfunded/bootstrapped companies eligible? Quote exact language from Terms/FAQ.</t>
  </si>
  <si>
    <t xml:space="preserve">Q5 Agency Exclusion:</t>
  </si>
  <si>
    <t xml:space="preserve">Does program exclude agencies/consultancies? Quote exact language. HIGHLIGHT for SRS apps.</t>
  </si>
  <si>
    <t xml:space="preserve">Q6 Credit Amount:</t>
  </si>
  <si>
    <t xml:space="preserve">What is starter tier credit amount? Any conditions/expiration? Quote source.</t>
  </si>
  <si>
    <t xml:space="preserve">Risk Flags:</t>
  </si>
  <si>
    <t xml:space="preserve">Summarize any concerns. Use: HIGH/MEDIUM/LOW/NONE</t>
  </si>
  <si>
    <t xml:space="preserve">Verdict:</t>
  </si>
  <si>
    <t xml:space="preserve">READY / BLOCKED - CEO INPUT / BLOCKED - EXCLUSION RISK / DO NOT APPLY</t>
  </si>
  <si>
    <t xml:space="preserve">PROGRAM FACT SHEETS (Task 1D)</t>
  </si>
  <si>
    <t xml:space="preserve">AWS ACTIVATE FOUNDERS</t>
  </si>
  <si>
    <t xml:space="preserve">Program Name:</t>
  </si>
  <si>
    <t xml:space="preserve">Program URL:</t>
  </si>
  <si>
    <t xml:space="preserve">Credit Amount (Starter):</t>
  </si>
  <si>
    <t xml:space="preserve">Credit Amount (Higher Tiers):</t>
  </si>
  <si>
    <t xml:space="preserve">Eligibility Requirements:</t>
  </si>
  <si>
    <t xml:space="preserve">Exclusions (exact language):</t>
  </si>
  <si>
    <t xml:space="preserve">Application URL:</t>
  </si>
  <si>
    <t xml:space="preserve">Required Documents:</t>
  </si>
  <si>
    <t xml:space="preserve">Approval Timeline:</t>
  </si>
  <si>
    <t xml:space="preserve">Credit Expiration:</t>
  </si>
  <si>
    <t xml:space="preserve">Source Documents:</t>
  </si>
  <si>
    <t xml:space="preserve">GOOGLE FOR STARTUPS (START TIER)</t>
  </si>
  <si>
    <t xml:space="preserve">MICROSOFT FOUNDERS HUB</t>
  </si>
  <si>
    <t xml:space="preserve">PROGRAM PROOF SHEETS - ASSET STAGING (Task 2D)</t>
  </si>
  <si>
    <t xml:space="preserve">Stage all assets needed for applications. Mark CEO INPUT where you can't verify publicly.</t>
  </si>
  <si>
    <t xml:space="preserve">Field</t>
  </si>
  <si>
    <t xml:space="preserve">SparkData Analytics</t>
  </si>
  <si>
    <t xml:space="preserve">Southwest Resume Services</t>
  </si>
  <si>
    <t xml:space="preserve">Required For</t>
  </si>
  <si>
    <t xml:space="preserve">Legal Entity Name</t>
  </si>
  <si>
    <t xml:space="preserve">All</t>
  </si>
  <si>
    <t xml:space="preserve">EIN</t>
  </si>
  <si>
    <t xml:space="preserve">[CEO INPUT]</t>
  </si>
  <si>
    <t xml:space="preserve">Do not guess</t>
  </si>
  <si>
    <t xml:space="preserve">Website URL</t>
  </si>
  <si>
    <t xml:space="preserve">Verify if publicly known</t>
  </si>
  <si>
    <t xml:space="preserve">LinkedIn Company Page</t>
  </si>
  <si>
    <t xml:space="preserve">AWS, Google</t>
  </si>
  <si>
    <t xml:space="preserve">Verify exists or note DOES NOT EXIST</t>
  </si>
  <si>
    <t xml:space="preserve">Founder LinkedIn URL</t>
  </si>
  <si>
    <t xml:space="preserve">Domain Email</t>
  </si>
  <si>
    <t xml:space="preserve">Google, Microsoft</t>
  </si>
  <si>
    <t xml:space="preserve">Must be @company.com, not gmail</t>
  </si>
  <si>
    <t xml:space="preserve">Date Founded</t>
  </si>
  <si>
    <t xml:space="preserve">Physical Address</t>
  </si>
  <si>
    <t xml:space="preserve">State of Incorporation</t>
  </si>
  <si>
    <t xml:space="preserve">Some</t>
  </si>
  <si>
    <t xml:space="preserve">Entity Type</t>
  </si>
  <si>
    <t xml:space="preserve">LLC, C-Corp, etc.</t>
  </si>
  <si>
    <t xml:space="preserve">Short Description (&lt;100 chars)</t>
  </si>
  <si>
    <t xml:space="preserve">[CEO APPROVED TEXT]</t>
  </si>
  <si>
    <t xml:space="preserve">I must approve this</t>
  </si>
  <si>
    <t xml:space="preserve">Long Description (&lt;500 chars)</t>
  </si>
  <si>
    <t xml:space="preserve">What are you building?</t>
  </si>
  <si>
    <t xml:space="preserve">Google</t>
  </si>
  <si>
    <t xml:space="preserve">What will you use credits for?</t>
  </si>
  <si>
    <t xml:space="preserve">Current Stage</t>
  </si>
  <si>
    <t xml:space="preserve">Bootstrapped</t>
  </si>
  <si>
    <t xml:space="preserve">Funding Status</t>
  </si>
  <si>
    <t xml:space="preserve">$0 / Bootstrapped</t>
  </si>
  <si>
    <t xml:space="preserve">Employee Count</t>
  </si>
  <si>
    <t xml:space="preserve">CEO DATA COLLECTION CHECKLIST (Task 2B)</t>
  </si>
  <si>
    <t xml:space="preserve">Every data point Ryan needs to provide. He fills Status column privately.</t>
  </si>
  <si>
    <t xml:space="preserve">Data Point</t>
  </si>
  <si>
    <t xml:space="preserve">Feeds Into</t>
  </si>
  <si>
    <t xml:space="preserve">Priority</t>
  </si>
  <si>
    <t xml:space="preserve">Net Self-Employment Income - SDA (Schedule C Line 31)</t>
  </si>
  <si>
    <t xml:space="preserve">Tax</t>
  </si>
  <si>
    <t xml:space="preserve">SEP-IRA Calculator</t>
  </si>
  <si>
    <t xml:space="preserve">HIGH</t>
  </si>
  <si>
    <t xml:space="preserve">Net Self-Employment Income - SRS (Schedule C Line 31)</t>
  </si>
  <si>
    <t xml:space="preserve">Total Health Insurance Premiums Paid 2024</t>
  </si>
  <si>
    <t xml:space="preserve">Health Ins Worksheet</t>
  </si>
  <si>
    <t xml:space="preserve">HSA Contributions Already Made 2024</t>
  </si>
  <si>
    <t xml:space="preserve">HSA Calculator</t>
  </si>
  <si>
    <t xml:space="preserve">MEDIUM</t>
  </si>
  <si>
    <t xml:space="preserve">HDHP Coverage Type (Self-only / Family)</t>
  </si>
  <si>
    <t xml:space="preserve">Home Office Square Footage</t>
  </si>
  <si>
    <t xml:space="preserve">Home Office Calculator</t>
  </si>
  <si>
    <t xml:space="preserve">Total Home Square Footage</t>
  </si>
  <si>
    <t xml:space="preserve">Total Home Expenses 2024 (rent/mortgage + utilities + insurance)</t>
  </si>
  <si>
    <t xml:space="preserve">Estimated Business Miles Driven 2024</t>
  </si>
  <si>
    <t xml:space="preserve">Vehicle Calculator</t>
  </si>
  <si>
    <t xml:space="preserve">Eligible for Employer-Subsidized Health Coverage? (Y/N)</t>
  </si>
  <si>
    <t xml:space="preserve">Taxable Income Estimate (for QBI threshold check)</t>
  </si>
  <si>
    <t xml:space="preserve">QBI Estimator</t>
  </si>
  <si>
    <t xml:space="preserve">SparkData Analytics EIN</t>
  </si>
  <si>
    <t xml:space="preserve">Cloud Apps</t>
  </si>
  <si>
    <t xml:space="preserve">All Applications</t>
  </si>
  <si>
    <t xml:space="preserve">Southwest Resume Services EIN</t>
  </si>
  <si>
    <t xml:space="preserve">SDA Website URL</t>
  </si>
  <si>
    <t xml:space="preserve">Pre-Flight + Apps</t>
  </si>
  <si>
    <t xml:space="preserve">SRS Website URL</t>
  </si>
  <si>
    <t xml:space="preserve">SDA Domain Email</t>
  </si>
  <si>
    <t xml:space="preserve">SRS Domain Email</t>
  </si>
  <si>
    <t xml:space="preserve">SDA Date Founded</t>
  </si>
  <si>
    <t xml:space="preserve">Applications</t>
  </si>
  <si>
    <t xml:space="preserve">SRS Date Founded</t>
  </si>
  <si>
    <t xml:space="preserve">Ryan LinkedIn Profile URL</t>
  </si>
  <si>
    <t xml:space="preserve">SDA LinkedIn Company Page URL</t>
  </si>
  <si>
    <t xml:space="preserve">SRS LinkedIn Company Page URL</t>
  </si>
  <si>
    <t xml:space="preserve">Company Physical Address</t>
  </si>
  <si>
    <t xml:space="preserve">SDA 1-Line Description (CEO APPROVED, &lt;100 chars)</t>
  </si>
  <si>
    <t xml:space="preserve">SRS 1-Line Description (CEO APPROVED, &lt;100 chars)</t>
  </si>
  <si>
    <t xml:space="preserve">SRS Positioning Decision: Services vs Product framing</t>
  </si>
  <si>
    <t xml:space="preserve">Strategy</t>
  </si>
  <si>
    <t xml:space="preserve">Google App Decision</t>
  </si>
  <si>
    <t xml:space="preserve">Does SDA have Public GitHub Repos?</t>
  </si>
  <si>
    <t xml:space="preserve">Vercel OSS Eligibility</t>
  </si>
  <si>
    <t xml:space="preserve">LOW</t>
  </si>
  <si>
    <t xml:space="preserve">Is SDA pursuing SBIR/STTR?</t>
  </si>
  <si>
    <t xml:space="preserve">AZ FAST Grant Eligibility</t>
  </si>
  <si>
    <t xml:space="preserve">SEP-IRA CONTRIBUTION CALCULATOR</t>
  </si>
  <si>
    <t xml:space="preserve">Reference: IRS Publication 560</t>
  </si>
  <si>
    <t xml:space="preserve">INPUTS</t>
  </si>
  <si>
    <t xml:space="preserve">Net Self-Employment Income (Schedule C, Line 31):</t>
  </si>
  <si>
    <t xml:space="preserve">← Enter amount here</t>
  </si>
  <si>
    <t xml:space="preserve">CALCULATIONS</t>
  </si>
  <si>
    <t xml:space="preserve">Step 1: Net Earnings × 0.9235</t>
  </si>
  <si>
    <t xml:space="preserve">Adjustment for SE tax</t>
  </si>
  <si>
    <t xml:space="preserve">Step 2: SE Tax (Step 1 × 0.153)</t>
  </si>
  <si>
    <t xml:space="preserve">Step 3: SE Tax Deduction (Step 2 ÷ 2)</t>
  </si>
  <si>
    <t xml:space="preserve">Step 4: Net Earnings for SEP (Step 1 - Step 3)</t>
  </si>
  <si>
    <t xml:space="preserve">Step 5: Contribution Rate</t>
  </si>
  <si>
    <t xml:space="preserve">0.25</t>
  </si>
  <si>
    <t xml:space="preserve">25% max for SEP</t>
  </si>
  <si>
    <t xml:space="preserve">Step 6: Max Contribution (Step 4 × Step 5)</t>
  </si>
  <si>
    <t xml:space="preserve">OUTPUT</t>
  </si>
  <si>
    <t xml:space="preserve">MAXIMUM SEP-IRA CONTRIBUTION:</t>
  </si>
  <si>
    <t xml:space="preserve">Capped at $69,000 for 2024</t>
  </si>
  <si>
    <t xml:space="preserve">Deadline: April 15, 2025 (or Oct 15, 2025 with extension)</t>
  </si>
  <si>
    <t xml:space="preserve">Source: IRS Publication 560, Chapter 5</t>
  </si>
  <si>
    <t xml:space="preserve">HSA CONTRIBUTION CALCULATOR</t>
  </si>
  <si>
    <t xml:space="preserve">Reference: IRS Publication 969</t>
  </si>
  <si>
    <t xml:space="preserve">HDHP ELIGIBILITY CHECK</t>
  </si>
  <si>
    <t xml:space="preserve">Do you have a High Deductible Health Plan (HDHP)?</t>
  </si>
  <si>
    <t xml:space="preserve">Enter YES or NO</t>
  </si>
  <si>
    <t xml:space="preserve">Coverage Type:</t>
  </si>
  <si>
    <t xml:space="preserve">Enter SELF or FAMILY</t>
  </si>
  <si>
    <t xml:space="preserve">Are you age 55 or older?</t>
  </si>
  <si>
    <t xml:space="preserve">2024 HDHP REQUIREMENTS</t>
  </si>
  <si>
    <t xml:space="preserve">Self-Only: Min deductible $1,600 / Max OOP $8,050</t>
  </si>
  <si>
    <t xml:space="preserve">Family: Min deductible $3,200 / Max OOP $16,100</t>
  </si>
  <si>
    <t xml:space="preserve">2024 CONTRIBUTION LIMITS</t>
  </si>
  <si>
    <t xml:space="preserve">Self-Only Coverage:</t>
  </si>
  <si>
    <t xml:space="preserve">$4,150</t>
  </si>
  <si>
    <t xml:space="preserve">Family Coverage:</t>
  </si>
  <si>
    <t xml:space="preserve">$8,300</t>
  </si>
  <si>
    <t xml:space="preserve">Catch-Up (age 55+):</t>
  </si>
  <si>
    <t xml:space="preserve">+$1,000</t>
  </si>
  <si>
    <t xml:space="preserve">CALCULATION</t>
  </si>
  <si>
    <t xml:space="preserve">HSA Contributions Already Made in 2024:</t>
  </si>
  <si>
    <t xml:space="preserve">Applicable Limit (based on coverage type):</t>
  </si>
  <si>
    <t xml:space="preserve">Enter $4,150 or $8,300 (+ $1,000 if 55+)</t>
  </si>
  <si>
    <t xml:space="preserve">REMAINING CONTRIBUTION ALLOWED:</t>
  </si>
  <si>
    <t xml:space="preserve">Deadline: April 15, 2025</t>
  </si>
  <si>
    <t xml:space="preserve">HOME OFFICE DEDUCTION CALCULATOR</t>
  </si>
  <si>
    <t xml:space="preserve">Reference: IRS Publication 587</t>
  </si>
  <si>
    <t xml:space="preserve">Home Office Square Footage:</t>
  </si>
  <si>
    <t xml:space="preserve">Total Home Square Footage:</t>
  </si>
  <si>
    <t xml:space="preserve">Total Home Expenses 2024:</t>
  </si>
  <si>
    <t xml:space="preserve">(rent/mortgage interest + utilities + insurance)</t>
  </si>
  <si>
    <t xml:space="preserve">METHOD 1: SIMPLIFIED</t>
  </si>
  <si>
    <t xml:space="preserve">Rate: $5 per square foot</t>
  </si>
  <si>
    <t xml:space="preserve">Maximum: 300 sq ft ($1,500)</t>
  </si>
  <si>
    <t xml:space="preserve">Simplified Deduction:</t>
  </si>
  <si>
    <t xml:space="preserve">METHOD 2: ACTUAL EXPENSES</t>
  </si>
  <si>
    <t xml:space="preserve">Business Use Percentage:</t>
  </si>
  <si>
    <t xml:space="preserve">(office sq ft ÷ total sq ft)</t>
  </si>
  <si>
    <t xml:space="preserve">Actual Expense Deduction:</t>
  </si>
  <si>
    <t xml:space="preserve">RECOMMENDED METHOD:</t>
  </si>
  <si>
    <t xml:space="preserve">MAXIMUM DEDUCTION:</t>
  </si>
  <si>
    <t xml:space="preserve">VEHICLE MILEAGE DEDUCTION CALCULATOR</t>
  </si>
  <si>
    <t xml:space="preserve">Reference: IRS Publication 463</t>
  </si>
  <si>
    <t xml:space="preserve">Total Business Miles Driven 2024:</t>
  </si>
  <si>
    <t xml:space="preserve">FOR ACTUAL EXPENSE METHOD (optional):</t>
  </si>
  <si>
    <t xml:space="preserve">Total Vehicle Expenses (gas, insurance, repairs):</t>
  </si>
  <si>
    <t xml:space="preserve">Vehicle Depreciation:</t>
  </si>
  <si>
    <t xml:space="preserve">Total Miles Driven (all purposes):</t>
  </si>
  <si>
    <t xml:space="preserve">METHOD 1: STANDARD MILEAGE</t>
  </si>
  <si>
    <t xml:space="preserve">2024 Rate: $0.67 per mile</t>
  </si>
  <si>
    <t xml:space="preserve">Standard Mileage Deduction:</t>
  </si>
  <si>
    <t xml:space="preserve">NOTE: Must maintain contemporaneous mileage log for IRS compliance</t>
  </si>
  <si>
    <t xml:space="preserve">SELF-EMPLOYED HEALTH INSURANCE DEDUCTION</t>
  </si>
  <si>
    <t xml:space="preserve">Total Health Insurance Premiums Paid 2024:</t>
  </si>
  <si>
    <t xml:space="preserve">Net Self-Employment Income (combined SDA + SRS):</t>
  </si>
  <si>
    <t xml:space="preserve">Were you eligible for employer-subsidized coverage?</t>
  </si>
  <si>
    <t xml:space="preserve">RULES</t>
  </si>
  <si>
    <t xml:space="preserve">• Deduction cannot exceed net self-employment income</t>
  </si>
  <si>
    <t xml:space="preserve">• Cannot claim if eligible for employer-subsidized plan (yours or spouse's)</t>
  </si>
  <si>
    <t xml:space="preserve">• This is an above-the-line deduction (Schedule 1, Line 17)</t>
  </si>
  <si>
    <t xml:space="preserve">ALLOWABLE DEDUCTION:</t>
  </si>
  <si>
    <t xml:space="preserve">If $0: You answered YES to employer-subsidized coverage</t>
  </si>
  <si>
    <t xml:space="preserve">QBI DEDUCTION ESTIMATOR (Section 199A)</t>
  </si>
  <si>
    <t xml:space="preserve">Reference: Form 8995 Instructions</t>
  </si>
  <si>
    <t xml:space="preserve">Taxable Income (before QBI deduction):</t>
  </si>
  <si>
    <t xml:space="preserve">Combined QBI from SDA + SRS:</t>
  </si>
  <si>
    <t xml:space="preserve">Filing Status:</t>
  </si>
  <si>
    <t xml:space="preserve">Enter SINGLE or MFJ</t>
  </si>
  <si>
    <t xml:space="preserve">2024 THRESHOLDS</t>
  </si>
  <si>
    <t xml:space="preserve">Single: Full deduction if taxable income &lt; $191,950</t>
  </si>
  <si>
    <t xml:space="preserve">MFJ: Full deduction if taxable income &lt; $383,900</t>
  </si>
  <si>
    <t xml:space="preserve">Above thresholds: Phase-out calculations may apply</t>
  </si>
  <si>
    <t xml:space="preserve">Applicable Threshold:</t>
  </si>
  <si>
    <t xml:space="preserve">Below Threshold?</t>
  </si>
  <si>
    <t xml:space="preserve">20% of QBI:</t>
  </si>
  <si>
    <t xml:space="preserve">ESTIMATED QBI DEDUCTION:</t>
  </si>
  <si>
    <t xml:space="preserve">NOTE: QBI excludes SE tax deduction, SE health insurance, and retirement contributions</t>
  </si>
  <si>
    <t xml:space="preserve">This is calculated AFTER other deductions reduce your QBI</t>
  </si>
  <si>
    <t xml:space="preserve">TAX DEDUCTION SUMMARY DASHBOARD</t>
  </si>
  <si>
    <t xml:space="preserve">DEDUCTION CATEGORY</t>
  </si>
  <si>
    <t xml:space="preserve">AMOUNT</t>
  </si>
  <si>
    <t xml:space="preserve">SOURCE WORKSHEET</t>
  </si>
  <si>
    <t xml:space="preserve">SEP-IRA Contribution</t>
  </si>
  <si>
    <t xml:space="preserve">SEP-IRA Calc</t>
  </si>
  <si>
    <t xml:space="preserve">HSA Contribution</t>
  </si>
  <si>
    <t xml:space="preserve">HSA Calc</t>
  </si>
  <si>
    <t xml:space="preserve">Home Office Deduction</t>
  </si>
  <si>
    <t xml:space="preserve">Home Office Calc</t>
  </si>
  <si>
    <t xml:space="preserve">Vehicle Mileage Deduction</t>
  </si>
  <si>
    <t xml:space="preserve">Vehicle Calc</t>
  </si>
  <si>
    <t xml:space="preserve">Self-Employed Health Insurance</t>
  </si>
  <si>
    <t xml:space="preserve">Health Ins Calc</t>
  </si>
  <si>
    <t xml:space="preserve">TOTAL DEDUCTIONS (before QBI):</t>
  </si>
  <si>
    <t xml:space="preserve">QBI Deduction (calculated separately):</t>
  </si>
  <si>
    <t xml:space="preserve">TARGET RANGE: $36,000 - $50,000</t>
  </si>
  <si>
    <t xml:space="preserve">KEY DEADLINES</t>
  </si>
  <si>
    <t xml:space="preserve">HSA Contribution:</t>
  </si>
  <si>
    <t xml:space="preserve">April 15, 2025</t>
  </si>
  <si>
    <t xml:space="preserve">SEP-IRA (with extension):</t>
  </si>
  <si>
    <t xml:space="preserve">October 15, 2025</t>
  </si>
  <si>
    <t xml:space="preserve">DOMESTIC VENDOR WHITELIST (Task 2E)</t>
  </si>
  <si>
    <t xml:space="preserve">Under §174A, domestic R&amp;D = immediate expensing. Foreign = 15-year amortization.</t>
  </si>
  <si>
    <t xml:space="preserve">Vendor</t>
  </si>
  <si>
    <t xml:space="preserve">HQ Location</t>
  </si>
  <si>
    <t xml:space="preserve">US-Based?</t>
  </si>
  <si>
    <t xml:space="preserve">Verification Source</t>
  </si>
  <si>
    <t xml:space="preserve">Bank Statement Descriptor</t>
  </si>
  <si>
    <t xml:space="preserve">OpenAI</t>
  </si>
  <si>
    <t xml:space="preserve">OPENAI</t>
  </si>
  <si>
    <t xml:space="preserve">Anthropic</t>
  </si>
  <si>
    <t xml:space="preserve">ANTHROPIC</t>
  </si>
  <si>
    <t xml:space="preserve">GitHub</t>
  </si>
  <si>
    <t xml:space="preserve">GITHUB</t>
  </si>
  <si>
    <t xml:space="preserve">Vercel</t>
  </si>
  <si>
    <t xml:space="preserve">VERCEL</t>
  </si>
  <si>
    <t xml:space="preserve">AWS</t>
  </si>
  <si>
    <t xml:space="preserve">AMAZON WEB SERVICES / AWS</t>
  </si>
  <si>
    <t xml:space="preserve">Google Cloud</t>
  </si>
  <si>
    <t xml:space="preserve">GOOGLE CLOUD / GCP</t>
  </si>
  <si>
    <t xml:space="preserve">Microsoft Azure</t>
  </si>
  <si>
    <t xml:space="preserve">MICROSOFT / AZURE</t>
  </si>
  <si>
    <t xml:space="preserve">Stripe</t>
  </si>
  <si>
    <t xml:space="preserve">STRIPE</t>
  </si>
  <si>
    <t xml:space="preserve">Twilio</t>
  </si>
  <si>
    <t xml:space="preserve">TWILIO</t>
  </si>
  <si>
    <t xml:space="preserve">MongoDB</t>
  </si>
  <si>
    <t xml:space="preserve">MONGODB</t>
  </si>
  <si>
    <t xml:space="preserve">Snowflake</t>
  </si>
  <si>
    <t xml:space="preserve">SNOWFLAKE</t>
  </si>
  <si>
    <t xml:space="preserve">Databricks</t>
  </si>
  <si>
    <t xml:space="preserve">DATABRICKS</t>
  </si>
  <si>
    <t xml:space="preserve">HuggingFace</t>
  </si>
  <si>
    <t xml:space="preserve">HUGGINGFACE</t>
  </si>
  <si>
    <t xml:space="preserve">Notion</t>
  </si>
  <si>
    <t xml:space="preserve">NOTION</t>
  </si>
  <si>
    <t xml:space="preserve">Slack</t>
  </si>
  <si>
    <t xml:space="preserve">SLACK</t>
  </si>
  <si>
    <t xml:space="preserve">Zoom</t>
  </si>
  <si>
    <t xml:space="preserve">ZOOM</t>
  </si>
  <si>
    <t xml:space="preserve">Figma</t>
  </si>
  <si>
    <t xml:space="preserve">FIGMA</t>
  </si>
  <si>
    <t xml:space="preserve">Linear</t>
  </si>
  <si>
    <t xml:space="preserve">LINEAR</t>
  </si>
  <si>
    <t xml:space="preserve">Retool</t>
  </si>
  <si>
    <t xml:space="preserve">RETOOL</t>
  </si>
  <si>
    <t xml:space="preserve">Supabase</t>
  </si>
  <si>
    <t xml:space="preserve">SUPABASE</t>
  </si>
  <si>
    <t xml:space="preserve">PlanetScale</t>
  </si>
  <si>
    <t xml:space="preserve">PLANETSCALE</t>
  </si>
  <si>
    <t xml:space="preserve">Railway</t>
  </si>
  <si>
    <t xml:space="preserve">RAILWAY</t>
  </si>
  <si>
    <t xml:space="preserve">Render</t>
  </si>
  <si>
    <t xml:space="preserve">RENDER</t>
  </si>
  <si>
    <t xml:space="preserve">Heroku</t>
  </si>
  <si>
    <t xml:space="preserve">HEROKU</t>
  </si>
  <si>
    <t xml:space="preserve">DigitalOcean</t>
  </si>
  <si>
    <t xml:space="preserve">DIGITALOCEAN</t>
  </si>
  <si>
    <t xml:space="preserve">R&amp;D KEYWORD SEARCH LIST (Task 2E)</t>
  </si>
  <si>
    <t xml:space="preserve">Use these keywords to Ctrl+F bank/credit card statements for R&amp;D expenses.</t>
  </si>
  <si>
    <t xml:space="preserve">CLOUD INFRASTRUCTURE</t>
  </si>
  <si>
    <t xml:space="preserve">API</t>
  </si>
  <si>
    <t xml:space="preserve">hosting</t>
  </si>
  <si>
    <t xml:space="preserve">compute</t>
  </si>
  <si>
    <t xml:space="preserve">server</t>
  </si>
  <si>
    <t xml:space="preserve">instance</t>
  </si>
  <si>
    <t xml:space="preserve">storage</t>
  </si>
  <si>
    <t xml:space="preserve">bandwidth</t>
  </si>
  <si>
    <t xml:space="preserve">CDN</t>
  </si>
  <si>
    <t xml:space="preserve">cluster</t>
  </si>
  <si>
    <t xml:space="preserve">container</t>
  </si>
  <si>
    <t xml:space="preserve">kubernetes</t>
  </si>
  <si>
    <t xml:space="preserve">docker</t>
  </si>
  <si>
    <t xml:space="preserve">lambda</t>
  </si>
  <si>
    <t xml:space="preserve">serverless</t>
  </si>
  <si>
    <t xml:space="preserve">EC2</t>
  </si>
  <si>
    <t xml:space="preserve">S3</t>
  </si>
  <si>
    <t xml:space="preserve">AI / MACHINE LEARNING</t>
  </si>
  <si>
    <t xml:space="preserve">token</t>
  </si>
  <si>
    <t xml:space="preserve">inference</t>
  </si>
  <si>
    <t xml:space="preserve">embedding</t>
  </si>
  <si>
    <t xml:space="preserve">model</t>
  </si>
  <si>
    <t xml:space="preserve">training</t>
  </si>
  <si>
    <t xml:space="preserve">fine-tuning</t>
  </si>
  <si>
    <t xml:space="preserve">GPU</t>
  </si>
  <si>
    <t xml:space="preserve">CUDA</t>
  </si>
  <si>
    <t xml:space="preserve">neural</t>
  </si>
  <si>
    <t xml:space="preserve">LLM</t>
  </si>
  <si>
    <t xml:space="preserve">GPT</t>
  </si>
  <si>
    <t xml:space="preserve">Claude</t>
  </si>
  <si>
    <t xml:space="preserve">completion</t>
  </si>
  <si>
    <t xml:space="preserve">prompt</t>
  </si>
  <si>
    <t xml:space="preserve">vector</t>
  </si>
  <si>
    <t xml:space="preserve">RAG</t>
  </si>
  <si>
    <t xml:space="preserve">DEVELOPMENT TOOLS</t>
  </si>
  <si>
    <t xml:space="preserve">repository</t>
  </si>
  <si>
    <t xml:space="preserve">commit</t>
  </si>
  <si>
    <t xml:space="preserve">CI/CD</t>
  </si>
  <si>
    <t xml:space="preserve">deployment</t>
  </si>
  <si>
    <t xml:space="preserve">build</t>
  </si>
  <si>
    <t xml:space="preserve">test</t>
  </si>
  <si>
    <t xml:space="preserve">IDE</t>
  </si>
  <si>
    <t xml:space="preserve">compiler</t>
  </si>
  <si>
    <t xml:space="preserve">debugger</t>
  </si>
  <si>
    <t xml:space="preserve">version control</t>
  </si>
  <si>
    <t xml:space="preserve">git</t>
  </si>
  <si>
    <t xml:space="preserve">npm</t>
  </si>
  <si>
    <t xml:space="preserve">pip</t>
  </si>
  <si>
    <t xml:space="preserve">package</t>
  </si>
  <si>
    <t xml:space="preserve">DATA</t>
  </si>
  <si>
    <t xml:space="preserve">database</t>
  </si>
  <si>
    <t xml:space="preserve">query</t>
  </si>
  <si>
    <t xml:space="preserve">analytics</t>
  </si>
  <si>
    <t xml:space="preserve">pipeline</t>
  </si>
  <si>
    <t xml:space="preserve">ETL</t>
  </si>
  <si>
    <t xml:space="preserve">warehouse</t>
  </si>
  <si>
    <t xml:space="preserve">SQL</t>
  </si>
  <si>
    <t xml:space="preserve">NoSQL</t>
  </si>
  <si>
    <t xml:space="preserve">Postgres</t>
  </si>
  <si>
    <t xml:space="preserve">Redis</t>
  </si>
  <si>
    <t xml:space="preserve">Elasticsearch</t>
  </si>
  <si>
    <t xml:space="preserve">BigQuery</t>
  </si>
  <si>
    <t xml:space="preserve">SAAS / PRODUCTIVITY</t>
  </si>
  <si>
    <t xml:space="preserve">subscription</t>
  </si>
  <si>
    <t xml:space="preserve">workspace</t>
  </si>
  <si>
    <t xml:space="preserve">license</t>
  </si>
  <si>
    <t xml:space="preserve">seat</t>
  </si>
  <si>
    <t xml:space="preserve">pro plan</t>
  </si>
  <si>
    <t xml:space="preserve">team plan</t>
  </si>
  <si>
    <t xml:space="preserve">enterprise</t>
  </si>
  <si>
    <t xml:space="preserve">monthly</t>
  </si>
  <si>
    <t xml:space="preserve">annual</t>
  </si>
  <si>
    <t xml:space="preserve">GRANT KILL LIST (Task 2F)</t>
  </si>
  <si>
    <t xml:space="preserve">Systematically eliminate grants we don't qualify for. Most will be KILLED.</t>
  </si>
  <si>
    <t xml:space="preserve">AUTOMATIC DISQUALIFIERS (if ANY apply, mark KILLED)</t>
  </si>
  <si>
    <t xml:space="preserve">1. Requires Non-Profit status (we are for-profit LLCs)</t>
  </si>
  <si>
    <t xml:space="preserve">2. Requires &gt;2 W-2 full-time employees (we don't have W-2 employees)</t>
  </si>
  <si>
    <t xml:space="preserve">3. Sector mismatch (excludes tech, AI, software, or professional services)</t>
  </si>
  <si>
    <t xml:space="preserve">4. Deadline has passed for current cycle</t>
  </si>
  <si>
    <t xml:space="preserve">5. Award amount &lt; $1,000 (not worth application effort)</t>
  </si>
  <si>
    <t xml:space="preserve">GRANT EVALUATION TABLE</t>
  </si>
  <si>
    <t xml:space="preserve">Grant Name</t>
  </si>
  <si>
    <t xml:space="preserve">Source Doc</t>
  </si>
  <si>
    <t xml:space="preserve">Award Amount</t>
  </si>
  <si>
    <t xml:space="preserve">Kill Criteria Met</t>
  </si>
  <si>
    <t xml:space="preserve">Employee Req</t>
  </si>
  <si>
    <t xml:space="preserve">Sector Req</t>
  </si>
  <si>
    <t xml:space="preserve">VERDICT</t>
  </si>
  <si>
    <t xml:space="preserve">Arizona Innovation Challenge</t>
  </si>
  <si>
    <t xml:space="preserve">$50K-$250K</t>
  </si>
  <si>
    <t xml:space="preserve">Summer 2026</t>
  </si>
  <si>
    <t xml:space="preserve">$3,000</t>
  </si>
  <si>
    <t xml:space="preserve">SBIR Phase I</t>
  </si>
  <si>
    <t xml:space="preserve">$50K-$275K</t>
  </si>
  <si>
    <t xml:space="preserve">Rolling</t>
  </si>
  <si>
    <t xml:space="preserve">VERDICT OPTIONS: KILLED / VIABLE / UNCERTAIN - CEO REVIEW</t>
  </si>
  <si>
    <t xml:space="preserve">ESCALATION LOG</t>
  </si>
  <si>
    <t xml:space="preserve">Log every escalation here. Include timestamp and resolution.</t>
  </si>
  <si>
    <t xml:space="preserve">Date/Time</t>
  </si>
  <si>
    <t xml:space="preserve">Trigger Type</t>
  </si>
  <si>
    <t xml:space="preserve">CEO Response</t>
  </si>
  <si>
    <t xml:space="preserve">Resolution</t>
  </si>
  <si>
    <t xml:space="preserve">Trigger Types: TIME_EXCEEDED / MISSING_INFO / AMBIGUOUS / STRATEGIC / ERROR_RISK</t>
  </si>
  <si>
    <t xml:space="preserve">DAILY CHECK-IN LOG</t>
  </si>
  <si>
    <t xml:space="preserve">Date</t>
  </si>
  <si>
    <t xml:space="preserve">COMPLETED</t>
  </si>
  <si>
    <t xml:space="preserve">BLOCKED</t>
  </si>
  <si>
    <t xml:space="preserve">TOMORROW</t>
  </si>
  <si>
    <t xml:space="preserve">QUESTIONS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</si>
</sst>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666666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i val="true"/>
      <sz val="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6DCE5"/>
        <bgColor rgb="FFC0C0C0"/>
      </patternFill>
    </fill>
    <fill>
      <patternFill patternType="solid">
        <fgColor rgb="FFFF6B6B"/>
        <bgColor rgb="FFFF6600"/>
      </patternFill>
    </fill>
    <fill>
      <patternFill patternType="solid">
        <fgColor rgb="FF2F549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5" t="s">
        <v>4</v>
      </c>
      <c r="C6" s="5"/>
      <c r="D6" s="5"/>
      <c r="E6" s="5"/>
      <c r="F6" s="5"/>
    </row>
    <row r="7" customFormat="false" ht="15" hidden="false" customHeight="false" outlineLevel="0" collapsed="false">
      <c r="A7" s="4" t="s">
        <v>5</v>
      </c>
      <c r="B7" s="5" t="s">
        <v>6</v>
      </c>
      <c r="C7" s="5"/>
      <c r="D7" s="5"/>
      <c r="E7" s="5"/>
      <c r="F7" s="5"/>
    </row>
    <row r="8" customFormat="false" ht="15" hidden="false" customHeight="false" outlineLevel="0" collapsed="false">
      <c r="A8" s="4" t="s">
        <v>7</v>
      </c>
      <c r="B8" s="5" t="s">
        <v>8</v>
      </c>
      <c r="C8" s="5"/>
      <c r="D8" s="5"/>
      <c r="E8" s="5"/>
      <c r="F8" s="5"/>
    </row>
    <row r="9" customFormat="false" ht="15" hidden="false" customHeight="false" outlineLevel="0" collapsed="false">
      <c r="A9" s="4" t="s">
        <v>9</v>
      </c>
      <c r="B9" s="5" t="s">
        <v>10</v>
      </c>
      <c r="C9" s="5"/>
      <c r="D9" s="5"/>
      <c r="E9" s="5"/>
      <c r="F9" s="5"/>
    </row>
    <row r="10" customFormat="false" ht="15" hidden="false" customHeight="false" outlineLevel="0" collapsed="false">
      <c r="A10" s="4" t="s">
        <v>11</v>
      </c>
      <c r="B10" s="5" t="s">
        <v>12</v>
      </c>
      <c r="C10" s="5"/>
      <c r="D10" s="5"/>
      <c r="E10" s="5"/>
      <c r="F10" s="5"/>
    </row>
    <row r="11" customFormat="false" ht="15" hidden="false" customHeight="false" outlineLevel="0" collapsed="false">
      <c r="A11" s="4" t="s">
        <v>13</v>
      </c>
      <c r="B11" s="5" t="s">
        <v>14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15</v>
      </c>
      <c r="B12" s="5" t="s">
        <v>16</v>
      </c>
      <c r="C12" s="5"/>
      <c r="D12" s="5"/>
      <c r="E12" s="5"/>
      <c r="F12" s="5"/>
    </row>
    <row r="14" customFormat="false" ht="15" hidden="false" customHeight="false" outlineLevel="0" collapsed="false">
      <c r="A14" s="6" t="s">
        <v>17</v>
      </c>
    </row>
    <row r="15" customFormat="false" ht="15" hidden="false" customHeight="false" outlineLevel="0" collapsed="false">
      <c r="A15" s="5" t="s">
        <v>18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5" t="s">
        <v>19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5" t="s">
        <v>20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 t="s">
        <v>21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5" t="s">
        <v>22</v>
      </c>
      <c r="B19" s="5"/>
      <c r="C19" s="5"/>
      <c r="D19" s="5"/>
      <c r="E19" s="5"/>
      <c r="F19" s="5"/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4" t="s">
        <v>25</v>
      </c>
      <c r="C22" s="4" t="s">
        <v>26</v>
      </c>
    </row>
    <row r="23" customFormat="false" ht="15" hidden="false" customHeight="false" outlineLevel="0" collapsed="false">
      <c r="A23" s="0" t="s">
        <v>27</v>
      </c>
      <c r="B23" s="0" t="s">
        <v>28</v>
      </c>
      <c r="C23" s="5" t="s">
        <v>29</v>
      </c>
      <c r="D23" s="5"/>
      <c r="E23" s="5"/>
      <c r="F23" s="5"/>
    </row>
    <row r="24" customFormat="false" ht="15" hidden="false" customHeight="false" outlineLevel="0" collapsed="false">
      <c r="A24" s="0" t="s">
        <v>30</v>
      </c>
      <c r="B24" s="0" t="s">
        <v>31</v>
      </c>
      <c r="C24" s="5" t="s">
        <v>32</v>
      </c>
      <c r="D24" s="5"/>
      <c r="E24" s="5"/>
      <c r="F24" s="5"/>
    </row>
    <row r="25" customFormat="false" ht="15" hidden="false" customHeight="false" outlineLevel="0" collapsed="false">
      <c r="A25" s="0" t="s">
        <v>33</v>
      </c>
      <c r="B25" s="0" t="s">
        <v>34</v>
      </c>
      <c r="C25" s="5" t="s">
        <v>35</v>
      </c>
      <c r="D25" s="5"/>
      <c r="E25" s="5"/>
      <c r="F25" s="5"/>
    </row>
    <row r="26" customFormat="false" ht="15" hidden="false" customHeight="false" outlineLevel="0" collapsed="false">
      <c r="A26" s="0" t="s">
        <v>36</v>
      </c>
      <c r="B26" s="0" t="s">
        <v>28</v>
      </c>
      <c r="C26" s="5" t="s">
        <v>37</v>
      </c>
      <c r="D26" s="5"/>
      <c r="E26" s="5"/>
      <c r="F26" s="5"/>
    </row>
    <row r="27" customFormat="false" ht="15" hidden="false" customHeight="false" outlineLevel="0" collapsed="false">
      <c r="A27" s="0" t="s">
        <v>38</v>
      </c>
      <c r="B27" s="0" t="s">
        <v>39</v>
      </c>
      <c r="C27" s="5" t="s">
        <v>40</v>
      </c>
      <c r="D27" s="5"/>
      <c r="E27" s="5"/>
      <c r="F27" s="5"/>
    </row>
    <row r="29" customFormat="false" ht="15" hidden="false" customHeight="false" outlineLevel="0" collapsed="false">
      <c r="A29" s="3" t="s">
        <v>41</v>
      </c>
    </row>
    <row r="30" customFormat="false" ht="15" hidden="false" customHeight="false" outlineLevel="0" collapsed="false">
      <c r="A30" s="5" t="s">
        <v>42</v>
      </c>
      <c r="B30" s="5"/>
      <c r="C30" s="5"/>
      <c r="D30" s="5"/>
      <c r="E30" s="5"/>
      <c r="F30" s="5"/>
    </row>
    <row r="31" customFormat="false" ht="15" hidden="false" customHeight="false" outlineLevel="0" collapsed="false">
      <c r="A31" s="5" t="s">
        <v>43</v>
      </c>
      <c r="B31" s="5"/>
      <c r="C31" s="5"/>
      <c r="D31" s="5"/>
      <c r="E31" s="5"/>
      <c r="F31" s="5"/>
    </row>
    <row r="32" customFormat="false" ht="15" hidden="false" customHeight="false" outlineLevel="0" collapsed="false">
      <c r="A32" s="5" t="s">
        <v>44</v>
      </c>
      <c r="B32" s="5"/>
      <c r="C32" s="5"/>
      <c r="D32" s="5"/>
      <c r="E32" s="5"/>
      <c r="F32" s="5"/>
    </row>
    <row r="33" customFormat="false" ht="15" hidden="false" customHeight="false" outlineLevel="0" collapsed="false">
      <c r="A33" s="5" t="s">
        <v>45</v>
      </c>
      <c r="B33" s="5"/>
      <c r="C33" s="5"/>
      <c r="D33" s="5"/>
      <c r="E33" s="5"/>
      <c r="F33" s="5"/>
    </row>
    <row r="35" customFormat="false" ht="15" hidden="false" customHeight="false" outlineLevel="0" collapsed="false">
      <c r="A35" s="3" t="s">
        <v>46</v>
      </c>
    </row>
    <row r="36" customFormat="false" ht="15" hidden="false" customHeight="false" outlineLevel="0" collapsed="false">
      <c r="A36" s="4" t="s">
        <v>47</v>
      </c>
      <c r="B36" s="4" t="s">
        <v>48</v>
      </c>
    </row>
    <row r="37" customFormat="false" ht="15" hidden="false" customHeight="false" outlineLevel="0" collapsed="false">
      <c r="A37" s="0" t="s">
        <v>49</v>
      </c>
      <c r="B37" s="5" t="s">
        <v>50</v>
      </c>
      <c r="C37" s="5"/>
      <c r="D37" s="5"/>
      <c r="E37" s="5"/>
      <c r="F37" s="5"/>
    </row>
    <row r="38" customFormat="false" ht="15" hidden="false" customHeight="false" outlineLevel="0" collapsed="false">
      <c r="A38" s="0" t="s">
        <v>51</v>
      </c>
      <c r="B38" s="5" t="s">
        <v>52</v>
      </c>
      <c r="C38" s="5"/>
      <c r="D38" s="5"/>
      <c r="E38" s="5"/>
      <c r="F38" s="5"/>
    </row>
    <row r="39" customFormat="false" ht="15" hidden="false" customHeight="false" outlineLevel="0" collapsed="false">
      <c r="A39" s="0" t="s">
        <v>53</v>
      </c>
      <c r="B39" s="5" t="s">
        <v>54</v>
      </c>
      <c r="C39" s="5"/>
      <c r="D39" s="5"/>
      <c r="E39" s="5"/>
      <c r="F39" s="5"/>
    </row>
    <row r="40" customFormat="false" ht="15" hidden="false" customHeight="false" outlineLevel="0" collapsed="false">
      <c r="A40" s="0" t="s">
        <v>55</v>
      </c>
      <c r="B40" s="5" t="s">
        <v>56</v>
      </c>
      <c r="C40" s="5"/>
      <c r="D40" s="5"/>
      <c r="E40" s="5"/>
      <c r="F40" s="5"/>
    </row>
    <row r="41" customFormat="false" ht="15" hidden="false" customHeight="false" outlineLevel="0" collapsed="false">
      <c r="A41" s="0" t="s">
        <v>57</v>
      </c>
      <c r="B41" s="5" t="s">
        <v>58</v>
      </c>
      <c r="C41" s="5"/>
      <c r="D41" s="5"/>
      <c r="E41" s="5"/>
      <c r="F41" s="5"/>
    </row>
    <row r="42" customFormat="false" ht="15" hidden="false" customHeight="false" outlineLevel="0" collapsed="false">
      <c r="A42" s="0" t="s">
        <v>59</v>
      </c>
      <c r="B42" s="5" t="s">
        <v>60</v>
      </c>
      <c r="C42" s="5"/>
      <c r="D42" s="5"/>
      <c r="E42" s="5"/>
      <c r="F42" s="5"/>
    </row>
    <row r="43" customFormat="false" ht="15" hidden="false" customHeight="false" outlineLevel="0" collapsed="false">
      <c r="A43" s="0" t="s">
        <v>61</v>
      </c>
      <c r="B43" s="5" t="s">
        <v>62</v>
      </c>
      <c r="C43" s="5"/>
      <c r="D43" s="5"/>
      <c r="E43" s="5"/>
      <c r="F43" s="5"/>
    </row>
  </sheetData>
  <mergeCells count="30">
    <mergeCell ref="A1:F1"/>
    <mergeCell ref="A3:F3"/>
    <mergeCell ref="B6:F6"/>
    <mergeCell ref="B7:F7"/>
    <mergeCell ref="B8:F8"/>
    <mergeCell ref="B9:F9"/>
    <mergeCell ref="B10:F10"/>
    <mergeCell ref="B11:F11"/>
    <mergeCell ref="B12:F12"/>
    <mergeCell ref="A15:F15"/>
    <mergeCell ref="A16:F16"/>
    <mergeCell ref="A17:F17"/>
    <mergeCell ref="A18:F18"/>
    <mergeCell ref="A19:F19"/>
    <mergeCell ref="C23:F23"/>
    <mergeCell ref="C24:F24"/>
    <mergeCell ref="C25:F25"/>
    <mergeCell ref="C26:F26"/>
    <mergeCell ref="C27:F27"/>
    <mergeCell ref="A30:F30"/>
    <mergeCell ref="A31:F31"/>
    <mergeCell ref="A32:F32"/>
    <mergeCell ref="A33:F33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7" t="s">
        <v>63</v>
      </c>
      <c r="B1" s="7"/>
      <c r="C1" s="7"/>
      <c r="D1" s="7"/>
      <c r="E1" s="7"/>
      <c r="F1" s="7"/>
      <c r="G1" s="7"/>
      <c r="H1" s="7"/>
    </row>
    <row r="3" customFormat="false" ht="28.35" hidden="false" customHeight="false" outlineLevel="0" collapsed="false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</row>
    <row r="4" customFormat="false" ht="15" hidden="false" customHeight="false" outlineLevel="0" collapsed="false">
      <c r="A4" s="9" t="s">
        <v>72</v>
      </c>
      <c r="B4" s="9" t="s">
        <v>73</v>
      </c>
      <c r="C4" s="9" t="s">
        <v>74</v>
      </c>
      <c r="D4" s="9" t="s">
        <v>75</v>
      </c>
      <c r="E4" s="9" t="s">
        <v>27</v>
      </c>
      <c r="F4" s="10"/>
      <c r="G4" s="10"/>
      <c r="H4" s="9" t="s">
        <v>76</v>
      </c>
    </row>
    <row r="5" customFormat="false" ht="15" hidden="false" customHeight="false" outlineLevel="0" collapsed="false">
      <c r="A5" s="9" t="s">
        <v>77</v>
      </c>
      <c r="B5" s="9" t="s">
        <v>78</v>
      </c>
      <c r="C5" s="9" t="s">
        <v>74</v>
      </c>
      <c r="D5" s="9" t="s">
        <v>79</v>
      </c>
      <c r="E5" s="9" t="s">
        <v>30</v>
      </c>
      <c r="F5" s="10"/>
      <c r="G5" s="10"/>
      <c r="H5" s="9" t="s">
        <v>80</v>
      </c>
    </row>
    <row r="6" customFormat="false" ht="15" hidden="false" customHeight="false" outlineLevel="0" collapsed="false">
      <c r="A6" s="9" t="s">
        <v>81</v>
      </c>
      <c r="B6" s="9" t="s">
        <v>82</v>
      </c>
      <c r="C6" s="9" t="s">
        <v>83</v>
      </c>
      <c r="D6" s="9" t="s">
        <v>84</v>
      </c>
      <c r="E6" s="9" t="s">
        <v>30</v>
      </c>
      <c r="F6" s="10"/>
      <c r="G6" s="10"/>
      <c r="H6" s="9" t="s">
        <v>85</v>
      </c>
    </row>
    <row r="7" customFormat="false" ht="15" hidden="false" customHeight="false" outlineLevel="0" collapsed="false">
      <c r="A7" s="9" t="s">
        <v>86</v>
      </c>
      <c r="B7" s="9" t="s">
        <v>87</v>
      </c>
      <c r="C7" s="9" t="s">
        <v>83</v>
      </c>
      <c r="D7" s="9" t="s">
        <v>79</v>
      </c>
      <c r="E7" s="9" t="s">
        <v>30</v>
      </c>
      <c r="F7" s="10"/>
      <c r="G7" s="10"/>
      <c r="H7" s="9" t="s">
        <v>88</v>
      </c>
    </row>
    <row r="8" customFormat="false" ht="15" hidden="false" customHeight="false" outlineLevel="0" collapsed="false">
      <c r="A8" s="9" t="s">
        <v>89</v>
      </c>
      <c r="B8" s="9" t="s">
        <v>90</v>
      </c>
      <c r="C8" s="9" t="s">
        <v>83</v>
      </c>
      <c r="D8" s="9" t="s">
        <v>84</v>
      </c>
      <c r="E8" s="9" t="s">
        <v>30</v>
      </c>
      <c r="F8" s="10"/>
      <c r="G8" s="10"/>
      <c r="H8" s="9" t="s">
        <v>91</v>
      </c>
    </row>
    <row r="9" customFormat="false" ht="15" hidden="false" customHeight="false" outlineLevel="0" collapsed="false">
      <c r="A9" s="9" t="s">
        <v>92</v>
      </c>
      <c r="B9" s="9" t="s">
        <v>93</v>
      </c>
      <c r="C9" s="9" t="s">
        <v>74</v>
      </c>
      <c r="D9" s="9" t="s">
        <v>75</v>
      </c>
      <c r="E9" s="9" t="s">
        <v>36</v>
      </c>
      <c r="F9" s="10"/>
      <c r="G9" s="10"/>
      <c r="H9" s="9" t="s">
        <v>94</v>
      </c>
    </row>
    <row r="10" customFormat="false" ht="15" hidden="false" customHeight="false" outlineLevel="0" collapsed="false">
      <c r="A10" s="9" t="s">
        <v>95</v>
      </c>
      <c r="B10" s="9" t="s">
        <v>96</v>
      </c>
      <c r="C10" s="9" t="s">
        <v>97</v>
      </c>
      <c r="D10" s="9" t="s">
        <v>98</v>
      </c>
      <c r="E10" s="9" t="s">
        <v>36</v>
      </c>
      <c r="F10" s="10"/>
      <c r="G10" s="10"/>
      <c r="H10" s="9" t="s">
        <v>99</v>
      </c>
    </row>
    <row r="11" customFormat="false" ht="15" hidden="false" customHeight="false" outlineLevel="0" collapsed="false">
      <c r="A11" s="9" t="s">
        <v>100</v>
      </c>
      <c r="B11" s="9" t="s">
        <v>101</v>
      </c>
      <c r="C11" s="9" t="s">
        <v>74</v>
      </c>
      <c r="D11" s="9" t="s">
        <v>79</v>
      </c>
      <c r="E11" s="9" t="s">
        <v>36</v>
      </c>
      <c r="F11" s="10"/>
      <c r="G11" s="10"/>
      <c r="H11" s="9" t="s">
        <v>102</v>
      </c>
    </row>
    <row r="12" customFormat="false" ht="15" hidden="false" customHeight="false" outlineLevel="0" collapsed="false">
      <c r="A12" s="9" t="s">
        <v>103</v>
      </c>
      <c r="B12" s="9" t="s">
        <v>104</v>
      </c>
      <c r="C12" s="9" t="s">
        <v>83</v>
      </c>
      <c r="D12" s="9" t="s">
        <v>84</v>
      </c>
      <c r="E12" s="9" t="s">
        <v>36</v>
      </c>
      <c r="F12" s="10"/>
      <c r="G12" s="10"/>
      <c r="H12" s="9" t="s">
        <v>105</v>
      </c>
    </row>
    <row r="13" customFormat="false" ht="15" hidden="false" customHeight="false" outlineLevel="0" collapsed="false">
      <c r="A13" s="9" t="s">
        <v>106</v>
      </c>
      <c r="B13" s="9" t="s">
        <v>107</v>
      </c>
      <c r="C13" s="9" t="s">
        <v>83</v>
      </c>
      <c r="D13" s="9" t="s">
        <v>84</v>
      </c>
      <c r="E13" s="9" t="s">
        <v>38</v>
      </c>
      <c r="F13" s="10"/>
      <c r="G13" s="10"/>
      <c r="H13" s="9" t="s">
        <v>108</v>
      </c>
    </row>
    <row r="14" customFormat="false" ht="15" hidden="false" customHeight="false" outlineLevel="0" collapsed="false">
      <c r="A14" s="9" t="s">
        <v>109</v>
      </c>
      <c r="B14" s="9" t="s">
        <v>110</v>
      </c>
      <c r="C14" s="9" t="s">
        <v>74</v>
      </c>
      <c r="D14" s="9" t="s">
        <v>79</v>
      </c>
      <c r="E14" s="9" t="s">
        <v>38</v>
      </c>
      <c r="F14" s="10"/>
      <c r="G14" s="10"/>
      <c r="H14" s="9" t="s">
        <v>111</v>
      </c>
    </row>
    <row r="15" customFormat="false" ht="15" hidden="false" customHeight="false" outlineLevel="0" collapsed="false">
      <c r="A15" s="9" t="s">
        <v>112</v>
      </c>
      <c r="B15" s="9" t="s">
        <v>113</v>
      </c>
      <c r="C15" s="9" t="s">
        <v>34</v>
      </c>
      <c r="D15" s="9" t="s">
        <v>84</v>
      </c>
      <c r="E15" s="9" t="s">
        <v>38</v>
      </c>
      <c r="F15" s="10"/>
      <c r="G15" s="10"/>
      <c r="H15" s="9" t="s">
        <v>114</v>
      </c>
    </row>
    <row r="16" customFormat="false" ht="15" hidden="false" customHeight="false" outlineLevel="0" collapsed="false">
      <c r="A16" s="9" t="s">
        <v>115</v>
      </c>
      <c r="B16" s="9" t="s">
        <v>116</v>
      </c>
      <c r="C16" s="9" t="s">
        <v>117</v>
      </c>
      <c r="D16" s="9" t="s">
        <v>79</v>
      </c>
      <c r="E16" s="9" t="s">
        <v>118</v>
      </c>
      <c r="F16" s="10"/>
      <c r="G16" s="10"/>
      <c r="H16" s="9" t="s">
        <v>119</v>
      </c>
    </row>
    <row r="17" customFormat="false" ht="15" hidden="false" customHeight="false" outlineLevel="0" collapsed="false">
      <c r="A17" s="9" t="s">
        <v>120</v>
      </c>
      <c r="B17" s="9" t="s">
        <v>121</v>
      </c>
      <c r="C17" s="9" t="s">
        <v>117</v>
      </c>
      <c r="D17" s="9" t="s">
        <v>79</v>
      </c>
      <c r="E17" s="9" t="s">
        <v>118</v>
      </c>
      <c r="F17" s="10"/>
      <c r="G17" s="10"/>
      <c r="H17" s="9" t="s">
        <v>119</v>
      </c>
    </row>
    <row r="20" customFormat="false" ht="15" hidden="false" customHeight="false" outlineLevel="0" collapsed="false">
      <c r="A20" s="11" t="s">
        <v>122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4" t="s">
        <v>66</v>
      </c>
      <c r="B21" s="4" t="s">
        <v>123</v>
      </c>
      <c r="C21" s="4" t="s">
        <v>124</v>
      </c>
      <c r="D21" s="4" t="s">
        <v>125</v>
      </c>
    </row>
    <row r="22" customFormat="false" ht="15" hidden="false" customHeight="false" outlineLevel="0" collapsed="false">
      <c r="A22" s="0" t="s">
        <v>97</v>
      </c>
      <c r="B22" s="0" t="s">
        <v>126</v>
      </c>
      <c r="C22" s="0" t="s">
        <v>127</v>
      </c>
      <c r="D22" s="5" t="s">
        <v>128</v>
      </c>
      <c r="E22" s="5"/>
      <c r="F22" s="5"/>
      <c r="G22" s="5"/>
      <c r="H22" s="5"/>
    </row>
    <row r="23" customFormat="false" ht="15" hidden="false" customHeight="false" outlineLevel="0" collapsed="false">
      <c r="A23" s="0" t="s">
        <v>83</v>
      </c>
      <c r="B23" s="0" t="s">
        <v>129</v>
      </c>
      <c r="C23" s="0" t="s">
        <v>130</v>
      </c>
      <c r="D23" s="5" t="s">
        <v>131</v>
      </c>
      <c r="E23" s="5"/>
      <c r="F23" s="5"/>
      <c r="G23" s="5"/>
      <c r="H23" s="5"/>
    </row>
    <row r="24" customFormat="false" ht="15" hidden="false" customHeight="false" outlineLevel="0" collapsed="false">
      <c r="A24" s="0" t="s">
        <v>74</v>
      </c>
      <c r="B24" s="0" t="s">
        <v>132</v>
      </c>
      <c r="C24" s="0" t="s">
        <v>133</v>
      </c>
      <c r="D24" s="5" t="s">
        <v>134</v>
      </c>
      <c r="E24" s="5"/>
      <c r="F24" s="5"/>
      <c r="G24" s="5"/>
      <c r="H24" s="5"/>
    </row>
    <row r="25" customFormat="false" ht="15" hidden="false" customHeight="false" outlineLevel="0" collapsed="false">
      <c r="A25" s="0" t="s">
        <v>117</v>
      </c>
      <c r="B25" s="0" t="s">
        <v>135</v>
      </c>
      <c r="C25" s="0" t="s">
        <v>136</v>
      </c>
      <c r="D25" s="5" t="s">
        <v>137</v>
      </c>
      <c r="E25" s="5"/>
      <c r="F25" s="5"/>
      <c r="G25" s="5"/>
      <c r="H25" s="5"/>
    </row>
  </sheetData>
  <mergeCells count="6">
    <mergeCell ref="A1:H1"/>
    <mergeCell ref="A20:H20"/>
    <mergeCell ref="D22:H22"/>
    <mergeCell ref="D23:H23"/>
    <mergeCell ref="D24:H24"/>
    <mergeCell ref="D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6" min="6" style="0" width="35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7" t="s">
        <v>138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12" t="s">
        <v>139</v>
      </c>
      <c r="B2" s="12"/>
      <c r="C2" s="12"/>
      <c r="D2" s="12"/>
      <c r="E2" s="12"/>
      <c r="F2" s="12"/>
      <c r="G2" s="12"/>
      <c r="H2" s="12"/>
    </row>
    <row r="4" customFormat="false" ht="28.35" hidden="false" customHeight="false" outlineLevel="0" collapsed="false">
      <c r="A4" s="8" t="s">
        <v>140</v>
      </c>
      <c r="B4" s="8" t="s">
        <v>141</v>
      </c>
      <c r="C4" s="8" t="s">
        <v>142</v>
      </c>
      <c r="D4" s="8" t="s">
        <v>143</v>
      </c>
      <c r="E4" s="8" t="s">
        <v>144</v>
      </c>
      <c r="F4" s="8" t="s">
        <v>124</v>
      </c>
      <c r="G4" s="8" t="s">
        <v>145</v>
      </c>
      <c r="H4" s="8" t="s">
        <v>71</v>
      </c>
    </row>
    <row r="5" customFormat="false" ht="15" hidden="false" customHeight="false" outlineLevel="0" collapsed="false">
      <c r="A5" s="10" t="s">
        <v>146</v>
      </c>
      <c r="B5" s="9" t="s">
        <v>147</v>
      </c>
      <c r="C5" s="9" t="s">
        <v>148</v>
      </c>
      <c r="D5" s="9" t="s">
        <v>149</v>
      </c>
      <c r="E5" s="10"/>
      <c r="F5" s="9" t="s">
        <v>150</v>
      </c>
      <c r="G5" s="10"/>
      <c r="H5" s="9" t="s">
        <v>151</v>
      </c>
    </row>
    <row r="6" customFormat="false" ht="15" hidden="false" customHeight="false" outlineLevel="0" collapsed="false">
      <c r="A6" s="10"/>
      <c r="B6" s="9" t="s">
        <v>152</v>
      </c>
      <c r="C6" s="9" t="s">
        <v>153</v>
      </c>
      <c r="D6" s="9" t="s">
        <v>154</v>
      </c>
      <c r="E6" s="10"/>
      <c r="F6" s="9" t="s">
        <v>155</v>
      </c>
      <c r="G6" s="10"/>
      <c r="H6" s="9"/>
    </row>
    <row r="7" customFormat="false" ht="15" hidden="false" customHeight="false" outlineLevel="0" collapsed="false">
      <c r="A7" s="10"/>
      <c r="B7" s="9" t="s">
        <v>152</v>
      </c>
      <c r="C7" s="9" t="s">
        <v>153</v>
      </c>
      <c r="D7" s="9" t="s">
        <v>154</v>
      </c>
      <c r="E7" s="10"/>
      <c r="F7" s="9" t="s">
        <v>156</v>
      </c>
      <c r="G7" s="10"/>
      <c r="H7" s="9"/>
    </row>
    <row r="8" customFormat="false" ht="15" hidden="false" customHeight="false" outlineLevel="0" collapsed="false">
      <c r="A8" s="10"/>
      <c r="B8" s="9" t="s">
        <v>152</v>
      </c>
      <c r="C8" s="9" t="s">
        <v>153</v>
      </c>
      <c r="D8" s="9" t="s">
        <v>154</v>
      </c>
      <c r="E8" s="10"/>
      <c r="F8" s="9" t="s">
        <v>157</v>
      </c>
      <c r="G8" s="10"/>
      <c r="H8" s="9"/>
    </row>
    <row r="9" customFormat="false" ht="15" hidden="false" customHeight="false" outlineLevel="0" collapsed="false">
      <c r="A9" s="10"/>
      <c r="B9" s="9" t="s">
        <v>152</v>
      </c>
      <c r="C9" s="9" t="s">
        <v>153</v>
      </c>
      <c r="D9" s="9" t="s">
        <v>154</v>
      </c>
      <c r="E9" s="10"/>
      <c r="F9" s="9" t="s">
        <v>158</v>
      </c>
      <c r="G9" s="10"/>
      <c r="H9" s="9"/>
    </row>
    <row r="10" customFormat="false" ht="15" hidden="false" customHeight="false" outlineLevel="0" collapsed="false">
      <c r="A10" s="10"/>
      <c r="B10" s="9" t="s">
        <v>152</v>
      </c>
      <c r="C10" s="9" t="s">
        <v>153</v>
      </c>
      <c r="D10" s="9" t="s">
        <v>154</v>
      </c>
      <c r="E10" s="10"/>
      <c r="F10" s="9" t="s">
        <v>159</v>
      </c>
      <c r="G10" s="10"/>
      <c r="H10" s="9"/>
    </row>
    <row r="11" customFormat="false" ht="15" hidden="false" customHeight="false" outlineLevel="0" collapsed="false">
      <c r="A11" s="10"/>
      <c r="B11" s="9" t="s">
        <v>152</v>
      </c>
      <c r="C11" s="9" t="s">
        <v>160</v>
      </c>
      <c r="D11" s="9" t="s">
        <v>154</v>
      </c>
      <c r="E11" s="10"/>
      <c r="F11" s="9" t="s">
        <v>161</v>
      </c>
      <c r="G11" s="10"/>
      <c r="H11" s="9"/>
    </row>
    <row r="12" customFormat="false" ht="15" hidden="false" customHeight="false" outlineLevel="0" collapsed="false">
      <c r="A12" s="10"/>
      <c r="B12" s="9" t="s">
        <v>152</v>
      </c>
      <c r="C12" s="9" t="s">
        <v>160</v>
      </c>
      <c r="D12" s="9" t="s">
        <v>154</v>
      </c>
      <c r="E12" s="10"/>
      <c r="F12" s="9" t="s">
        <v>162</v>
      </c>
      <c r="G12" s="10"/>
      <c r="H12" s="9"/>
    </row>
    <row r="13" customFormat="false" ht="15" hidden="false" customHeight="false" outlineLevel="0" collapsed="false">
      <c r="A13" s="10"/>
      <c r="B13" s="9" t="s">
        <v>152</v>
      </c>
      <c r="C13" s="9" t="s">
        <v>163</v>
      </c>
      <c r="D13" s="9" t="s">
        <v>154</v>
      </c>
      <c r="E13" s="10"/>
      <c r="F13" s="9" t="s">
        <v>164</v>
      </c>
      <c r="G13" s="10"/>
      <c r="H13" s="9"/>
    </row>
    <row r="14" customFormat="false" ht="15" hidden="false" customHeight="false" outlineLevel="0" collapsed="false">
      <c r="A14" s="10"/>
      <c r="B14" s="9" t="s">
        <v>165</v>
      </c>
      <c r="C14" s="9" t="s">
        <v>166</v>
      </c>
      <c r="D14" s="9" t="s">
        <v>54</v>
      </c>
      <c r="E14" s="10"/>
      <c r="F14" s="9" t="s">
        <v>167</v>
      </c>
      <c r="G14" s="10"/>
      <c r="H14" s="9"/>
    </row>
    <row r="15" customFormat="false" ht="15" hidden="false" customHeight="false" outlineLevel="0" collapsed="false">
      <c r="A15" s="10"/>
      <c r="B15" s="9" t="s">
        <v>165</v>
      </c>
      <c r="C15" s="9" t="s">
        <v>168</v>
      </c>
      <c r="D15" s="9" t="s">
        <v>54</v>
      </c>
      <c r="E15" s="10"/>
      <c r="F15" s="9" t="s">
        <v>169</v>
      </c>
      <c r="G15" s="10"/>
      <c r="H15" s="9"/>
    </row>
    <row r="16" customFormat="false" ht="15" hidden="false" customHeight="false" outlineLevel="0" collapsed="false">
      <c r="A16" s="10"/>
      <c r="B16" s="9" t="s">
        <v>165</v>
      </c>
      <c r="C16" s="9" t="s">
        <v>170</v>
      </c>
      <c r="D16" s="9" t="s">
        <v>54</v>
      </c>
      <c r="E16" s="10"/>
      <c r="F16" s="9" t="s">
        <v>171</v>
      </c>
      <c r="G16" s="10"/>
      <c r="H16" s="9"/>
    </row>
    <row r="17" customFormat="false" ht="15" hidden="false" customHeight="false" outlineLevel="0" collapsed="false">
      <c r="A17" s="10"/>
      <c r="B17" s="9" t="s">
        <v>165</v>
      </c>
      <c r="C17" s="9" t="s">
        <v>166</v>
      </c>
      <c r="D17" s="9" t="s">
        <v>56</v>
      </c>
      <c r="E17" s="10"/>
      <c r="F17" s="9" t="s">
        <v>172</v>
      </c>
      <c r="G17" s="10"/>
      <c r="H17" s="9"/>
    </row>
    <row r="18" customFormat="false" ht="15" hidden="false" customHeight="false" outlineLevel="0" collapsed="false">
      <c r="A18" s="10"/>
      <c r="B18" s="9" t="s">
        <v>165</v>
      </c>
      <c r="C18" s="9" t="s">
        <v>168</v>
      </c>
      <c r="D18" s="9" t="s">
        <v>56</v>
      </c>
      <c r="E18" s="10"/>
      <c r="F18" s="9" t="s">
        <v>173</v>
      </c>
      <c r="G18" s="10"/>
      <c r="H18" s="9"/>
    </row>
    <row r="19" customFormat="false" ht="15" hidden="false" customHeight="false" outlineLevel="0" collapsed="false">
      <c r="A19" s="10"/>
      <c r="B19" s="9" t="s">
        <v>165</v>
      </c>
      <c r="C19" s="9" t="s">
        <v>170</v>
      </c>
      <c r="D19" s="9" t="s">
        <v>56</v>
      </c>
      <c r="E19" s="10"/>
      <c r="F19" s="9" t="s">
        <v>174</v>
      </c>
      <c r="G19" s="10"/>
      <c r="H19" s="9"/>
    </row>
    <row r="20" customFormat="false" ht="15" hidden="false" customHeight="false" outlineLevel="0" collapsed="false">
      <c r="A20" s="10"/>
      <c r="B20" s="9" t="s">
        <v>165</v>
      </c>
      <c r="C20" s="9" t="s">
        <v>166</v>
      </c>
      <c r="D20" s="9" t="s">
        <v>58</v>
      </c>
      <c r="E20" s="10"/>
      <c r="F20" s="9" t="s">
        <v>175</v>
      </c>
      <c r="G20" s="10"/>
      <c r="H20" s="9"/>
    </row>
    <row r="21" customFormat="false" ht="15" hidden="false" customHeight="false" outlineLevel="0" collapsed="false">
      <c r="A21" s="10"/>
      <c r="B21" s="9" t="s">
        <v>165</v>
      </c>
      <c r="C21" s="9" t="s">
        <v>168</v>
      </c>
      <c r="D21" s="9" t="s">
        <v>58</v>
      </c>
      <c r="E21" s="10"/>
      <c r="F21" s="9" t="s">
        <v>176</v>
      </c>
      <c r="G21" s="10"/>
      <c r="H21" s="9"/>
    </row>
    <row r="22" customFormat="false" ht="15" hidden="false" customHeight="false" outlineLevel="0" collapsed="false">
      <c r="A22" s="10"/>
      <c r="B22" s="9" t="s">
        <v>165</v>
      </c>
      <c r="C22" s="9" t="s">
        <v>170</v>
      </c>
      <c r="D22" s="9" t="s">
        <v>58</v>
      </c>
      <c r="E22" s="10"/>
      <c r="F22" s="9" t="s">
        <v>177</v>
      </c>
      <c r="G22" s="10"/>
      <c r="H22" s="9"/>
    </row>
    <row r="23" customFormat="false" ht="15" hidden="false" customHeight="false" outlineLevel="0" collapsed="false">
      <c r="A23" s="10"/>
      <c r="B23" s="9" t="s">
        <v>178</v>
      </c>
      <c r="C23" s="9" t="s">
        <v>160</v>
      </c>
      <c r="D23" s="9" t="s">
        <v>60</v>
      </c>
      <c r="E23" s="10"/>
      <c r="F23" s="9" t="s">
        <v>179</v>
      </c>
      <c r="G23" s="10"/>
      <c r="H23" s="9"/>
    </row>
    <row r="24" customFormat="false" ht="15" hidden="false" customHeight="false" outlineLevel="0" collapsed="false">
      <c r="A24" s="10"/>
      <c r="B24" s="9" t="s">
        <v>178</v>
      </c>
      <c r="C24" s="9" t="s">
        <v>160</v>
      </c>
      <c r="D24" s="9" t="s">
        <v>60</v>
      </c>
      <c r="E24" s="10"/>
      <c r="F24" s="9" t="s">
        <v>180</v>
      </c>
      <c r="G24" s="10"/>
      <c r="H24" s="9"/>
    </row>
    <row r="25" customFormat="false" ht="15" hidden="false" customHeight="false" outlineLevel="0" collapsed="false">
      <c r="A25" s="10"/>
      <c r="B25" s="9" t="s">
        <v>178</v>
      </c>
      <c r="C25" s="9" t="s">
        <v>160</v>
      </c>
      <c r="D25" s="9" t="s">
        <v>60</v>
      </c>
      <c r="E25" s="10"/>
      <c r="F25" s="9" t="s">
        <v>181</v>
      </c>
      <c r="G25" s="10"/>
      <c r="H25" s="9"/>
    </row>
    <row r="26" customFormat="false" ht="15" hidden="false" customHeight="false" outlineLevel="0" collapsed="false">
      <c r="A26" s="10"/>
      <c r="B26" s="9" t="s">
        <v>178</v>
      </c>
      <c r="C26" s="9" t="s">
        <v>160</v>
      </c>
      <c r="D26" s="9" t="s">
        <v>60</v>
      </c>
      <c r="E26" s="10"/>
      <c r="F26" s="9" t="s">
        <v>182</v>
      </c>
      <c r="G26" s="10"/>
      <c r="H26" s="9"/>
    </row>
    <row r="27" customFormat="false" ht="15" hidden="false" customHeight="false" outlineLevel="0" collapsed="false">
      <c r="A27" s="10"/>
      <c r="B27" s="9" t="s">
        <v>183</v>
      </c>
      <c r="C27" s="9" t="s">
        <v>184</v>
      </c>
      <c r="D27" s="9" t="s">
        <v>62</v>
      </c>
      <c r="E27" s="10"/>
      <c r="F27" s="9" t="s">
        <v>185</v>
      </c>
      <c r="G27" s="10"/>
      <c r="H27" s="9"/>
    </row>
    <row r="28" customFormat="false" ht="15" hidden="false" customHeight="false" outlineLevel="0" collapsed="false">
      <c r="A28" s="10"/>
      <c r="B28" s="9" t="s">
        <v>183</v>
      </c>
      <c r="C28" s="9" t="s">
        <v>184</v>
      </c>
      <c r="D28" s="9" t="s">
        <v>62</v>
      </c>
      <c r="E28" s="10"/>
      <c r="F28" s="9" t="s">
        <v>186</v>
      </c>
      <c r="G28" s="10"/>
      <c r="H28" s="9"/>
    </row>
    <row r="29" customFormat="false" ht="15" hidden="false" customHeight="false" outlineLevel="0" collapsed="false">
      <c r="A29" s="10"/>
      <c r="B29" s="9" t="s">
        <v>183</v>
      </c>
      <c r="C29" s="9" t="s">
        <v>184</v>
      </c>
      <c r="D29" s="9" t="s">
        <v>187</v>
      </c>
      <c r="E29" s="10"/>
      <c r="F29" s="9" t="s">
        <v>188</v>
      </c>
      <c r="G29" s="10"/>
      <c r="H29" s="9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7" t="s">
        <v>189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12" t="s">
        <v>190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8.35" hidden="false" customHeight="false" outlineLevel="0" collapsed="false">
      <c r="A4" s="8" t="s">
        <v>191</v>
      </c>
      <c r="B4" s="8" t="s">
        <v>192</v>
      </c>
      <c r="C4" s="8" t="s">
        <v>193</v>
      </c>
      <c r="D4" s="8" t="s">
        <v>194</v>
      </c>
      <c r="E4" s="8" t="s">
        <v>195</v>
      </c>
      <c r="F4" s="8" t="s">
        <v>196</v>
      </c>
      <c r="G4" s="8" t="s">
        <v>197</v>
      </c>
      <c r="H4" s="8" t="s">
        <v>198</v>
      </c>
      <c r="I4" s="8" t="s">
        <v>199</v>
      </c>
      <c r="J4" s="8" t="s">
        <v>200</v>
      </c>
    </row>
    <row r="5" customFormat="false" ht="15" hidden="false" customHeight="false" outlineLevel="0" collapsed="false">
      <c r="A5" s="9" t="s">
        <v>201</v>
      </c>
      <c r="B5" s="10"/>
      <c r="C5" s="10"/>
      <c r="D5" s="10"/>
      <c r="E5" s="10"/>
      <c r="F5" s="10"/>
      <c r="G5" s="10"/>
      <c r="H5" s="10"/>
      <c r="I5" s="10"/>
      <c r="J5" s="10"/>
    </row>
    <row r="6" customFormat="false" ht="15" hidden="false" customHeight="false" outlineLevel="0" collapsed="false">
      <c r="A6" s="9" t="s">
        <v>202</v>
      </c>
      <c r="B6" s="10"/>
      <c r="C6" s="10"/>
      <c r="D6" s="10"/>
      <c r="E6" s="10"/>
      <c r="F6" s="10"/>
      <c r="G6" s="10"/>
      <c r="H6" s="10"/>
      <c r="I6" s="10"/>
      <c r="J6" s="10"/>
    </row>
    <row r="7" customFormat="false" ht="15" hidden="false" customHeight="false" outlineLevel="0" collapsed="false">
      <c r="A7" s="9" t="s">
        <v>203</v>
      </c>
      <c r="B7" s="10"/>
      <c r="C7" s="10"/>
      <c r="D7" s="10"/>
      <c r="E7" s="10"/>
      <c r="F7" s="10"/>
      <c r="G7" s="10"/>
      <c r="H7" s="10"/>
      <c r="I7" s="10"/>
      <c r="J7" s="10"/>
    </row>
    <row r="8" customFormat="false" ht="15" hidden="false" customHeight="false" outlineLevel="0" collapsed="false">
      <c r="A8" s="9" t="s">
        <v>204</v>
      </c>
      <c r="B8" s="10"/>
      <c r="C8" s="10"/>
      <c r="D8" s="10"/>
      <c r="E8" s="10"/>
      <c r="F8" s="10"/>
      <c r="G8" s="10"/>
      <c r="H8" s="10"/>
      <c r="I8" s="10"/>
      <c r="J8" s="10"/>
    </row>
    <row r="9" customFormat="false" ht="15" hidden="false" customHeight="false" outlineLevel="0" collapsed="false">
      <c r="A9" s="9" t="s">
        <v>205</v>
      </c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false" outlineLevel="0" collapsed="false">
      <c r="A10" s="9" t="s">
        <v>206</v>
      </c>
      <c r="B10" s="10"/>
      <c r="C10" s="10"/>
      <c r="D10" s="10"/>
      <c r="E10" s="10"/>
      <c r="F10" s="10"/>
      <c r="G10" s="10"/>
      <c r="H10" s="10"/>
      <c r="I10" s="10"/>
      <c r="J10" s="10"/>
    </row>
    <row r="12" customFormat="false" ht="15" hidden="false" customHeight="false" outlineLevel="0" collapsed="false">
      <c r="A12" s="11" t="s">
        <v>207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4" t="s">
        <v>208</v>
      </c>
      <c r="B13" s="5" t="s">
        <v>209</v>
      </c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4" t="s">
        <v>210</v>
      </c>
      <c r="B14" s="5" t="s">
        <v>211</v>
      </c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4" t="s">
        <v>212</v>
      </c>
      <c r="B15" s="5" t="s">
        <v>213</v>
      </c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4" t="s">
        <v>214</v>
      </c>
      <c r="B16" s="5" t="s">
        <v>215</v>
      </c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4" t="s">
        <v>216</v>
      </c>
      <c r="B17" s="5" t="s">
        <v>217</v>
      </c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4" t="s">
        <v>218</v>
      </c>
      <c r="B18" s="5" t="s">
        <v>219</v>
      </c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4" t="s">
        <v>220</v>
      </c>
      <c r="B19" s="5" t="s">
        <v>221</v>
      </c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4" t="s">
        <v>222</v>
      </c>
      <c r="B20" s="5" t="s">
        <v>223</v>
      </c>
      <c r="C20" s="5"/>
      <c r="D20" s="5"/>
      <c r="E20" s="5"/>
      <c r="F20" s="5"/>
      <c r="G20" s="5"/>
      <c r="H20" s="5"/>
      <c r="I20" s="5"/>
      <c r="J20" s="5"/>
    </row>
  </sheetData>
  <mergeCells count="11">
    <mergeCell ref="A1:J1"/>
    <mergeCell ref="A2:J2"/>
    <mergeCell ref="A12:J12"/>
    <mergeCell ref="B13:J13"/>
    <mergeCell ref="B14:J14"/>
    <mergeCell ref="B15:J15"/>
    <mergeCell ref="B16:J16"/>
    <mergeCell ref="B17:J17"/>
    <mergeCell ref="B18:J18"/>
    <mergeCell ref="B19:J19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7.35" hidden="false" customHeight="false" outlineLevel="0" collapsed="false">
      <c r="A1" s="7" t="s">
        <v>224</v>
      </c>
      <c r="B1" s="7"/>
      <c r="C1" s="7"/>
      <c r="D1" s="7"/>
    </row>
    <row r="3" customFormat="false" ht="15" hidden="false" customHeight="false" outlineLevel="0" collapsed="false">
      <c r="A3" s="13" t="s">
        <v>225</v>
      </c>
      <c r="B3" s="13"/>
      <c r="C3" s="13"/>
      <c r="D3" s="13"/>
    </row>
    <row r="4" customFormat="false" ht="15" hidden="false" customHeight="false" outlineLevel="0" collapsed="false">
      <c r="A4" s="4" t="s">
        <v>226</v>
      </c>
      <c r="B4" s="10"/>
      <c r="C4" s="10"/>
      <c r="D4" s="10"/>
    </row>
    <row r="5" customFormat="false" ht="15" hidden="false" customHeight="false" outlineLevel="0" collapsed="false">
      <c r="A5" s="4" t="s">
        <v>227</v>
      </c>
      <c r="B5" s="10"/>
      <c r="C5" s="10"/>
      <c r="D5" s="10"/>
    </row>
    <row r="6" customFormat="false" ht="15" hidden="false" customHeight="false" outlineLevel="0" collapsed="false">
      <c r="A6" s="4" t="s">
        <v>228</v>
      </c>
      <c r="B6" s="10"/>
      <c r="C6" s="10"/>
      <c r="D6" s="10"/>
    </row>
    <row r="7" customFormat="false" ht="15" hidden="false" customHeight="false" outlineLevel="0" collapsed="false">
      <c r="A7" s="4" t="s">
        <v>229</v>
      </c>
      <c r="B7" s="10"/>
      <c r="C7" s="10"/>
      <c r="D7" s="10"/>
    </row>
    <row r="8" customFormat="false" ht="15" hidden="false" customHeight="false" outlineLevel="0" collapsed="false">
      <c r="A8" s="4" t="s">
        <v>230</v>
      </c>
      <c r="B8" s="10"/>
      <c r="C8" s="10"/>
      <c r="D8" s="10"/>
    </row>
    <row r="9" customFormat="false" ht="15" hidden="false" customHeight="false" outlineLevel="0" collapsed="false">
      <c r="A9" s="4" t="s">
        <v>231</v>
      </c>
      <c r="B9" s="10"/>
      <c r="C9" s="10"/>
      <c r="D9" s="10"/>
    </row>
    <row r="10" customFormat="false" ht="15" hidden="false" customHeight="false" outlineLevel="0" collapsed="false">
      <c r="A10" s="4" t="s">
        <v>232</v>
      </c>
      <c r="B10" s="10"/>
      <c r="C10" s="10"/>
      <c r="D10" s="10"/>
    </row>
    <row r="11" customFormat="false" ht="15" hidden="false" customHeight="false" outlineLevel="0" collapsed="false">
      <c r="A11" s="4" t="s">
        <v>233</v>
      </c>
      <c r="B11" s="10"/>
      <c r="C11" s="10"/>
      <c r="D11" s="10"/>
    </row>
    <row r="12" customFormat="false" ht="15" hidden="false" customHeight="false" outlineLevel="0" collapsed="false">
      <c r="A12" s="4" t="s">
        <v>234</v>
      </c>
      <c r="B12" s="10"/>
      <c r="C12" s="10"/>
      <c r="D12" s="10"/>
    </row>
    <row r="13" customFormat="false" ht="15" hidden="false" customHeight="false" outlineLevel="0" collapsed="false">
      <c r="A13" s="4" t="s">
        <v>235</v>
      </c>
      <c r="B13" s="10"/>
      <c r="C13" s="10"/>
      <c r="D13" s="10"/>
    </row>
    <row r="14" customFormat="false" ht="15" hidden="false" customHeight="false" outlineLevel="0" collapsed="false">
      <c r="A14" s="4" t="s">
        <v>236</v>
      </c>
      <c r="B14" s="10"/>
      <c r="C14" s="10"/>
      <c r="D14" s="10"/>
    </row>
    <row r="17" customFormat="false" ht="15" hidden="false" customHeight="false" outlineLevel="0" collapsed="false">
      <c r="A17" s="13" t="s">
        <v>237</v>
      </c>
      <c r="B17" s="13"/>
      <c r="C17" s="13"/>
      <c r="D17" s="13"/>
    </row>
    <row r="18" customFormat="false" ht="15" hidden="false" customHeight="false" outlineLevel="0" collapsed="false">
      <c r="A18" s="4" t="s">
        <v>226</v>
      </c>
      <c r="B18" s="10"/>
      <c r="C18" s="10"/>
      <c r="D18" s="10"/>
    </row>
    <row r="19" customFormat="false" ht="15" hidden="false" customHeight="false" outlineLevel="0" collapsed="false">
      <c r="A19" s="4" t="s">
        <v>227</v>
      </c>
      <c r="B19" s="10"/>
      <c r="C19" s="10"/>
      <c r="D19" s="10"/>
    </row>
    <row r="20" customFormat="false" ht="15" hidden="false" customHeight="false" outlineLevel="0" collapsed="false">
      <c r="A20" s="4" t="s">
        <v>228</v>
      </c>
      <c r="B20" s="10"/>
      <c r="C20" s="10"/>
      <c r="D20" s="10"/>
    </row>
    <row r="21" customFormat="false" ht="15" hidden="false" customHeight="false" outlineLevel="0" collapsed="false">
      <c r="A21" s="4" t="s">
        <v>229</v>
      </c>
      <c r="B21" s="10"/>
      <c r="C21" s="10"/>
      <c r="D21" s="10"/>
    </row>
    <row r="22" customFormat="false" ht="15" hidden="false" customHeight="false" outlineLevel="0" collapsed="false">
      <c r="A22" s="4" t="s">
        <v>230</v>
      </c>
      <c r="B22" s="10"/>
      <c r="C22" s="10"/>
      <c r="D22" s="10"/>
    </row>
    <row r="23" customFormat="false" ht="15" hidden="false" customHeight="false" outlineLevel="0" collapsed="false">
      <c r="A23" s="4" t="s">
        <v>231</v>
      </c>
      <c r="B23" s="10"/>
      <c r="C23" s="10"/>
      <c r="D23" s="10"/>
    </row>
    <row r="24" customFormat="false" ht="15" hidden="false" customHeight="false" outlineLevel="0" collapsed="false">
      <c r="A24" s="4" t="s">
        <v>232</v>
      </c>
      <c r="B24" s="10"/>
      <c r="C24" s="10"/>
      <c r="D24" s="10"/>
    </row>
    <row r="25" customFormat="false" ht="15" hidden="false" customHeight="false" outlineLevel="0" collapsed="false">
      <c r="A25" s="4" t="s">
        <v>233</v>
      </c>
      <c r="B25" s="10"/>
      <c r="C25" s="10"/>
      <c r="D25" s="10"/>
    </row>
    <row r="26" customFormat="false" ht="15" hidden="false" customHeight="false" outlineLevel="0" collapsed="false">
      <c r="A26" s="4" t="s">
        <v>234</v>
      </c>
      <c r="B26" s="10"/>
      <c r="C26" s="10"/>
      <c r="D26" s="10"/>
    </row>
    <row r="27" customFormat="false" ht="15" hidden="false" customHeight="false" outlineLevel="0" collapsed="false">
      <c r="A27" s="4" t="s">
        <v>235</v>
      </c>
      <c r="B27" s="10"/>
      <c r="C27" s="10"/>
      <c r="D27" s="10"/>
    </row>
    <row r="28" customFormat="false" ht="15" hidden="false" customHeight="false" outlineLevel="0" collapsed="false">
      <c r="A28" s="4" t="s">
        <v>236</v>
      </c>
      <c r="B28" s="10"/>
      <c r="C28" s="10"/>
      <c r="D28" s="10"/>
    </row>
    <row r="31" customFormat="false" ht="15" hidden="false" customHeight="false" outlineLevel="0" collapsed="false">
      <c r="A31" s="13" t="s">
        <v>238</v>
      </c>
      <c r="B31" s="13"/>
      <c r="C31" s="13"/>
      <c r="D31" s="13"/>
    </row>
    <row r="32" customFormat="false" ht="15" hidden="false" customHeight="false" outlineLevel="0" collapsed="false">
      <c r="A32" s="4" t="s">
        <v>226</v>
      </c>
      <c r="B32" s="10"/>
      <c r="C32" s="10"/>
      <c r="D32" s="10"/>
    </row>
    <row r="33" customFormat="false" ht="15" hidden="false" customHeight="false" outlineLevel="0" collapsed="false">
      <c r="A33" s="4" t="s">
        <v>227</v>
      </c>
      <c r="B33" s="10"/>
      <c r="C33" s="10"/>
      <c r="D33" s="10"/>
    </row>
    <row r="34" customFormat="false" ht="15" hidden="false" customHeight="false" outlineLevel="0" collapsed="false">
      <c r="A34" s="4" t="s">
        <v>228</v>
      </c>
      <c r="B34" s="10"/>
      <c r="C34" s="10"/>
      <c r="D34" s="10"/>
    </row>
    <row r="35" customFormat="false" ht="15" hidden="false" customHeight="false" outlineLevel="0" collapsed="false">
      <c r="A35" s="4" t="s">
        <v>229</v>
      </c>
      <c r="B35" s="10"/>
      <c r="C35" s="10"/>
      <c r="D35" s="10"/>
    </row>
    <row r="36" customFormat="false" ht="15" hidden="false" customHeight="false" outlineLevel="0" collapsed="false">
      <c r="A36" s="4" t="s">
        <v>230</v>
      </c>
      <c r="B36" s="10"/>
      <c r="C36" s="10"/>
      <c r="D36" s="10"/>
    </row>
    <row r="37" customFormat="false" ht="15" hidden="false" customHeight="false" outlineLevel="0" collapsed="false">
      <c r="A37" s="4" t="s">
        <v>231</v>
      </c>
      <c r="B37" s="10"/>
      <c r="C37" s="10"/>
      <c r="D37" s="10"/>
    </row>
    <row r="38" customFormat="false" ht="15" hidden="false" customHeight="false" outlineLevel="0" collapsed="false">
      <c r="A38" s="4" t="s">
        <v>232</v>
      </c>
      <c r="B38" s="10"/>
      <c r="C38" s="10"/>
      <c r="D38" s="10"/>
    </row>
    <row r="39" customFormat="false" ht="15" hidden="false" customHeight="false" outlineLevel="0" collapsed="false">
      <c r="A39" s="4" t="s">
        <v>233</v>
      </c>
      <c r="B39" s="10"/>
      <c r="C39" s="10"/>
      <c r="D39" s="10"/>
    </row>
    <row r="40" customFormat="false" ht="15" hidden="false" customHeight="false" outlineLevel="0" collapsed="false">
      <c r="A40" s="4" t="s">
        <v>234</v>
      </c>
      <c r="B40" s="10"/>
      <c r="C40" s="10"/>
      <c r="D40" s="10"/>
    </row>
    <row r="41" customFormat="false" ht="15" hidden="false" customHeight="false" outlineLevel="0" collapsed="false">
      <c r="A41" s="4" t="s">
        <v>235</v>
      </c>
      <c r="B41" s="10"/>
      <c r="C41" s="10"/>
      <c r="D41" s="10"/>
    </row>
    <row r="42" customFormat="false" ht="15" hidden="false" customHeight="false" outlineLevel="0" collapsed="false">
      <c r="A42" s="4" t="s">
        <v>236</v>
      </c>
      <c r="B42" s="10"/>
      <c r="C42" s="10"/>
      <c r="D42" s="10"/>
    </row>
  </sheetData>
  <mergeCells count="37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A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20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7" t="s">
        <v>239</v>
      </c>
      <c r="B1" s="7"/>
      <c r="C1" s="7"/>
      <c r="D1" s="7"/>
      <c r="E1" s="7"/>
    </row>
    <row r="2" customFormat="false" ht="15" hidden="false" customHeight="false" outlineLevel="0" collapsed="false">
      <c r="A2" s="12" t="s">
        <v>240</v>
      </c>
      <c r="B2" s="12"/>
      <c r="C2" s="12"/>
      <c r="D2" s="12"/>
      <c r="E2" s="12"/>
    </row>
    <row r="4" customFormat="false" ht="15" hidden="false" customHeight="false" outlineLevel="0" collapsed="false">
      <c r="A4" s="8" t="s">
        <v>241</v>
      </c>
      <c r="B4" s="8" t="s">
        <v>242</v>
      </c>
      <c r="C4" s="8" t="s">
        <v>243</v>
      </c>
      <c r="D4" s="8" t="s">
        <v>244</v>
      </c>
      <c r="E4" s="8" t="s">
        <v>71</v>
      </c>
    </row>
    <row r="5" customFormat="false" ht="15" hidden="false" customHeight="false" outlineLevel="0" collapsed="false">
      <c r="A5" s="9" t="s">
        <v>245</v>
      </c>
      <c r="B5" s="9"/>
      <c r="C5" s="9"/>
      <c r="D5" s="9" t="s">
        <v>246</v>
      </c>
      <c r="E5" s="9"/>
    </row>
    <row r="6" customFormat="false" ht="15" hidden="false" customHeight="false" outlineLevel="0" collapsed="false">
      <c r="A6" s="9" t="s">
        <v>247</v>
      </c>
      <c r="B6" s="10" t="s">
        <v>248</v>
      </c>
      <c r="C6" s="10" t="s">
        <v>248</v>
      </c>
      <c r="D6" s="9" t="s">
        <v>246</v>
      </c>
      <c r="E6" s="9" t="s">
        <v>249</v>
      </c>
    </row>
    <row r="7" customFormat="false" ht="15" hidden="false" customHeight="false" outlineLevel="0" collapsed="false">
      <c r="A7" s="9" t="s">
        <v>250</v>
      </c>
      <c r="B7" s="10" t="s">
        <v>248</v>
      </c>
      <c r="C7" s="10" t="s">
        <v>248</v>
      </c>
      <c r="D7" s="9" t="s">
        <v>246</v>
      </c>
      <c r="E7" s="9" t="s">
        <v>251</v>
      </c>
    </row>
    <row r="8" customFormat="false" ht="15" hidden="false" customHeight="false" outlineLevel="0" collapsed="false">
      <c r="A8" s="9" t="s">
        <v>252</v>
      </c>
      <c r="B8" s="9"/>
      <c r="C8" s="9"/>
      <c r="D8" s="9" t="s">
        <v>253</v>
      </c>
      <c r="E8" s="9" t="s">
        <v>254</v>
      </c>
    </row>
    <row r="9" customFormat="false" ht="15" hidden="false" customHeight="false" outlineLevel="0" collapsed="false">
      <c r="A9" s="9" t="s">
        <v>255</v>
      </c>
      <c r="B9" s="10" t="s">
        <v>248</v>
      </c>
      <c r="C9" s="10" t="s">
        <v>248</v>
      </c>
      <c r="D9" s="9" t="s">
        <v>246</v>
      </c>
      <c r="E9" s="9"/>
    </row>
    <row r="10" customFormat="false" ht="15" hidden="false" customHeight="false" outlineLevel="0" collapsed="false">
      <c r="A10" s="9" t="s">
        <v>256</v>
      </c>
      <c r="B10" s="10" t="s">
        <v>248</v>
      </c>
      <c r="C10" s="10" t="s">
        <v>248</v>
      </c>
      <c r="D10" s="9" t="s">
        <v>257</v>
      </c>
      <c r="E10" s="9" t="s">
        <v>258</v>
      </c>
    </row>
    <row r="11" customFormat="false" ht="15" hidden="false" customHeight="false" outlineLevel="0" collapsed="false">
      <c r="A11" s="9" t="s">
        <v>259</v>
      </c>
      <c r="B11" s="10" t="s">
        <v>248</v>
      </c>
      <c r="C11" s="10" t="s">
        <v>248</v>
      </c>
      <c r="D11" s="9" t="s">
        <v>246</v>
      </c>
      <c r="E11" s="9"/>
    </row>
    <row r="12" customFormat="false" ht="15" hidden="false" customHeight="false" outlineLevel="0" collapsed="false">
      <c r="A12" s="9" t="s">
        <v>260</v>
      </c>
      <c r="B12" s="10" t="s">
        <v>248</v>
      </c>
      <c r="C12" s="10" t="s">
        <v>248</v>
      </c>
      <c r="D12" s="9" t="s">
        <v>246</v>
      </c>
      <c r="E12" s="9"/>
    </row>
    <row r="13" customFormat="false" ht="15" hidden="false" customHeight="false" outlineLevel="0" collapsed="false">
      <c r="A13" s="9" t="s">
        <v>261</v>
      </c>
      <c r="B13" s="9"/>
      <c r="C13" s="9"/>
      <c r="D13" s="9" t="s">
        <v>262</v>
      </c>
      <c r="E13" s="9"/>
    </row>
    <row r="14" customFormat="false" ht="15" hidden="false" customHeight="false" outlineLevel="0" collapsed="false">
      <c r="A14" s="9" t="s">
        <v>263</v>
      </c>
      <c r="B14" s="9"/>
      <c r="C14" s="9"/>
      <c r="D14" s="9" t="s">
        <v>262</v>
      </c>
      <c r="E14" s="9" t="s">
        <v>264</v>
      </c>
    </row>
    <row r="15" customFormat="false" ht="15" hidden="false" customHeight="false" outlineLevel="0" collapsed="false">
      <c r="A15" s="9" t="s">
        <v>265</v>
      </c>
      <c r="B15" s="10" t="s">
        <v>266</v>
      </c>
      <c r="C15" s="10" t="s">
        <v>266</v>
      </c>
      <c r="D15" s="9" t="s">
        <v>246</v>
      </c>
      <c r="E15" s="9" t="s">
        <v>267</v>
      </c>
    </row>
    <row r="16" customFormat="false" ht="15" hidden="false" customHeight="false" outlineLevel="0" collapsed="false">
      <c r="A16" s="9" t="s">
        <v>268</v>
      </c>
      <c r="B16" s="10" t="s">
        <v>266</v>
      </c>
      <c r="C16" s="10" t="s">
        <v>266</v>
      </c>
      <c r="D16" s="9" t="s">
        <v>262</v>
      </c>
      <c r="E16" s="9" t="s">
        <v>267</v>
      </c>
    </row>
    <row r="17" customFormat="false" ht="15" hidden="false" customHeight="false" outlineLevel="0" collapsed="false">
      <c r="A17" s="9" t="s">
        <v>269</v>
      </c>
      <c r="B17" s="10" t="s">
        <v>266</v>
      </c>
      <c r="C17" s="10" t="s">
        <v>266</v>
      </c>
      <c r="D17" s="9" t="s">
        <v>270</v>
      </c>
      <c r="E17" s="9" t="s">
        <v>267</v>
      </c>
    </row>
    <row r="18" customFormat="false" ht="15" hidden="false" customHeight="false" outlineLevel="0" collapsed="false">
      <c r="A18" s="9" t="s">
        <v>271</v>
      </c>
      <c r="B18" s="10" t="s">
        <v>266</v>
      </c>
      <c r="C18" s="10" t="s">
        <v>266</v>
      </c>
      <c r="D18" s="9" t="s">
        <v>246</v>
      </c>
      <c r="E18" s="9" t="s">
        <v>267</v>
      </c>
    </row>
    <row r="19" customFormat="false" ht="15" hidden="false" customHeight="false" outlineLevel="0" collapsed="false">
      <c r="A19" s="9" t="s">
        <v>272</v>
      </c>
      <c r="B19" s="9" t="s">
        <v>273</v>
      </c>
      <c r="C19" s="9" t="s">
        <v>273</v>
      </c>
      <c r="D19" s="9" t="s">
        <v>246</v>
      </c>
      <c r="E19" s="9"/>
    </row>
    <row r="20" customFormat="false" ht="15" hidden="false" customHeight="false" outlineLevel="0" collapsed="false">
      <c r="A20" s="9" t="s">
        <v>274</v>
      </c>
      <c r="B20" s="9" t="s">
        <v>275</v>
      </c>
      <c r="C20" s="9" t="s">
        <v>275</v>
      </c>
      <c r="D20" s="9" t="s">
        <v>246</v>
      </c>
      <c r="E20" s="9"/>
    </row>
    <row r="21" customFormat="false" ht="15" hidden="false" customHeight="false" outlineLevel="0" collapsed="false">
      <c r="A21" s="9" t="s">
        <v>276</v>
      </c>
      <c r="B21" s="10" t="s">
        <v>248</v>
      </c>
      <c r="C21" s="10" t="s">
        <v>248</v>
      </c>
      <c r="D21" s="9" t="s">
        <v>262</v>
      </c>
      <c r="E21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7" t="s">
        <v>277</v>
      </c>
      <c r="B1" s="7"/>
      <c r="C1" s="7"/>
      <c r="D1" s="7"/>
      <c r="E1" s="7"/>
    </row>
    <row r="2" customFormat="false" ht="15" hidden="false" customHeight="false" outlineLevel="0" collapsed="false">
      <c r="A2" s="12" t="s">
        <v>278</v>
      </c>
      <c r="B2" s="12"/>
      <c r="C2" s="12"/>
      <c r="D2" s="12"/>
      <c r="E2" s="12"/>
    </row>
    <row r="4" customFormat="false" ht="15" hidden="false" customHeight="false" outlineLevel="0" collapsed="false">
      <c r="A4" s="8" t="s">
        <v>279</v>
      </c>
      <c r="B4" s="8" t="s">
        <v>141</v>
      </c>
      <c r="C4" s="8" t="s">
        <v>280</v>
      </c>
      <c r="D4" s="8" t="s">
        <v>281</v>
      </c>
      <c r="E4" s="8" t="s">
        <v>69</v>
      </c>
    </row>
    <row r="5" customFormat="false" ht="15" hidden="false" customHeight="false" outlineLevel="0" collapsed="false">
      <c r="A5" s="9" t="s">
        <v>282</v>
      </c>
      <c r="B5" s="9" t="s">
        <v>283</v>
      </c>
      <c r="C5" s="9" t="s">
        <v>284</v>
      </c>
      <c r="D5" s="14" t="s">
        <v>285</v>
      </c>
      <c r="E5" s="10"/>
    </row>
    <row r="6" customFormat="false" ht="15" hidden="false" customHeight="false" outlineLevel="0" collapsed="false">
      <c r="A6" s="9" t="s">
        <v>286</v>
      </c>
      <c r="B6" s="9" t="s">
        <v>283</v>
      </c>
      <c r="C6" s="9" t="s">
        <v>284</v>
      </c>
      <c r="D6" s="14" t="s">
        <v>285</v>
      </c>
      <c r="E6" s="10"/>
    </row>
    <row r="7" customFormat="false" ht="15" hidden="false" customHeight="false" outlineLevel="0" collapsed="false">
      <c r="A7" s="9" t="s">
        <v>287</v>
      </c>
      <c r="B7" s="9" t="s">
        <v>283</v>
      </c>
      <c r="C7" s="9" t="s">
        <v>288</v>
      </c>
      <c r="D7" s="14" t="s">
        <v>285</v>
      </c>
      <c r="E7" s="10"/>
    </row>
    <row r="8" customFormat="false" ht="15" hidden="false" customHeight="false" outlineLevel="0" collapsed="false">
      <c r="A8" s="9" t="s">
        <v>289</v>
      </c>
      <c r="B8" s="9" t="s">
        <v>283</v>
      </c>
      <c r="C8" s="9" t="s">
        <v>290</v>
      </c>
      <c r="D8" s="9" t="s">
        <v>291</v>
      </c>
      <c r="E8" s="10"/>
    </row>
    <row r="9" customFormat="false" ht="15" hidden="false" customHeight="false" outlineLevel="0" collapsed="false">
      <c r="A9" s="9" t="s">
        <v>292</v>
      </c>
      <c r="B9" s="9" t="s">
        <v>283</v>
      </c>
      <c r="C9" s="9" t="s">
        <v>290</v>
      </c>
      <c r="D9" s="9" t="s">
        <v>291</v>
      </c>
      <c r="E9" s="10"/>
    </row>
    <row r="10" customFormat="false" ht="15" hidden="false" customHeight="false" outlineLevel="0" collapsed="false">
      <c r="A10" s="9" t="s">
        <v>293</v>
      </c>
      <c r="B10" s="9" t="s">
        <v>283</v>
      </c>
      <c r="C10" s="9" t="s">
        <v>294</v>
      </c>
      <c r="D10" s="9" t="s">
        <v>291</v>
      </c>
      <c r="E10" s="10"/>
    </row>
    <row r="11" customFormat="false" ht="15" hidden="false" customHeight="false" outlineLevel="0" collapsed="false">
      <c r="A11" s="9" t="s">
        <v>295</v>
      </c>
      <c r="B11" s="9" t="s">
        <v>283</v>
      </c>
      <c r="C11" s="9" t="s">
        <v>294</v>
      </c>
      <c r="D11" s="9" t="s">
        <v>291</v>
      </c>
      <c r="E11" s="10"/>
    </row>
    <row r="12" customFormat="false" ht="15" hidden="false" customHeight="false" outlineLevel="0" collapsed="false">
      <c r="A12" s="9" t="s">
        <v>296</v>
      </c>
      <c r="B12" s="9" t="s">
        <v>283</v>
      </c>
      <c r="C12" s="9" t="s">
        <v>294</v>
      </c>
      <c r="D12" s="9" t="s">
        <v>291</v>
      </c>
      <c r="E12" s="10"/>
    </row>
    <row r="13" customFormat="false" ht="15" hidden="false" customHeight="false" outlineLevel="0" collapsed="false">
      <c r="A13" s="9" t="s">
        <v>297</v>
      </c>
      <c r="B13" s="9" t="s">
        <v>283</v>
      </c>
      <c r="C13" s="9" t="s">
        <v>298</v>
      </c>
      <c r="D13" s="9" t="s">
        <v>291</v>
      </c>
      <c r="E13" s="10"/>
    </row>
    <row r="14" customFormat="false" ht="15" hidden="false" customHeight="false" outlineLevel="0" collapsed="false">
      <c r="A14" s="9" t="s">
        <v>299</v>
      </c>
      <c r="B14" s="9" t="s">
        <v>283</v>
      </c>
      <c r="C14" s="9" t="s">
        <v>288</v>
      </c>
      <c r="D14" s="9" t="s">
        <v>291</v>
      </c>
      <c r="E14" s="10"/>
    </row>
    <row r="15" customFormat="false" ht="15" hidden="false" customHeight="false" outlineLevel="0" collapsed="false">
      <c r="A15" s="9" t="s">
        <v>300</v>
      </c>
      <c r="B15" s="9" t="s">
        <v>283</v>
      </c>
      <c r="C15" s="9" t="s">
        <v>301</v>
      </c>
      <c r="D15" s="9" t="s">
        <v>291</v>
      </c>
      <c r="E15" s="10"/>
    </row>
    <row r="16" customFormat="false" ht="15" hidden="false" customHeight="false" outlineLevel="0" collapsed="false">
      <c r="A16" s="9" t="s">
        <v>302</v>
      </c>
      <c r="B16" s="9" t="s">
        <v>303</v>
      </c>
      <c r="C16" s="9" t="s">
        <v>304</v>
      </c>
      <c r="D16" s="14" t="s">
        <v>285</v>
      </c>
      <c r="E16" s="10"/>
    </row>
    <row r="17" customFormat="false" ht="15" hidden="false" customHeight="false" outlineLevel="0" collapsed="false">
      <c r="A17" s="9" t="s">
        <v>305</v>
      </c>
      <c r="B17" s="9" t="s">
        <v>303</v>
      </c>
      <c r="C17" s="9" t="s">
        <v>304</v>
      </c>
      <c r="D17" s="14" t="s">
        <v>285</v>
      </c>
      <c r="E17" s="10"/>
    </row>
    <row r="18" customFormat="false" ht="15" hidden="false" customHeight="false" outlineLevel="0" collapsed="false">
      <c r="A18" s="9" t="s">
        <v>306</v>
      </c>
      <c r="B18" s="9" t="s">
        <v>303</v>
      </c>
      <c r="C18" s="9" t="s">
        <v>307</v>
      </c>
      <c r="D18" s="14" t="s">
        <v>285</v>
      </c>
      <c r="E18" s="10"/>
    </row>
    <row r="19" customFormat="false" ht="15" hidden="false" customHeight="false" outlineLevel="0" collapsed="false">
      <c r="A19" s="9" t="s">
        <v>308</v>
      </c>
      <c r="B19" s="9" t="s">
        <v>303</v>
      </c>
      <c r="C19" s="9" t="s">
        <v>307</v>
      </c>
      <c r="D19" s="14" t="s">
        <v>285</v>
      </c>
      <c r="E19" s="10"/>
    </row>
    <row r="20" customFormat="false" ht="15" hidden="false" customHeight="false" outlineLevel="0" collapsed="false">
      <c r="A20" s="9" t="s">
        <v>309</v>
      </c>
      <c r="B20" s="9" t="s">
        <v>303</v>
      </c>
      <c r="C20" s="9" t="s">
        <v>307</v>
      </c>
      <c r="D20" s="14" t="s">
        <v>285</v>
      </c>
      <c r="E20" s="10"/>
    </row>
    <row r="21" customFormat="false" ht="15" hidden="false" customHeight="false" outlineLevel="0" collapsed="false">
      <c r="A21" s="9" t="s">
        <v>310</v>
      </c>
      <c r="B21" s="9" t="s">
        <v>303</v>
      </c>
      <c r="C21" s="9" t="s">
        <v>307</v>
      </c>
      <c r="D21" s="14" t="s">
        <v>285</v>
      </c>
      <c r="E21" s="10"/>
    </row>
    <row r="22" customFormat="false" ht="15" hidden="false" customHeight="false" outlineLevel="0" collapsed="false">
      <c r="A22" s="9" t="s">
        <v>311</v>
      </c>
      <c r="B22" s="9" t="s">
        <v>303</v>
      </c>
      <c r="C22" s="9" t="s">
        <v>312</v>
      </c>
      <c r="D22" s="14" t="s">
        <v>285</v>
      </c>
      <c r="E22" s="10"/>
    </row>
    <row r="23" customFormat="false" ht="15" hidden="false" customHeight="false" outlineLevel="0" collapsed="false">
      <c r="A23" s="9" t="s">
        <v>313</v>
      </c>
      <c r="B23" s="9" t="s">
        <v>303</v>
      </c>
      <c r="C23" s="9" t="s">
        <v>312</v>
      </c>
      <c r="D23" s="14" t="s">
        <v>285</v>
      </c>
      <c r="E23" s="10"/>
    </row>
    <row r="24" customFormat="false" ht="15" hidden="false" customHeight="false" outlineLevel="0" collapsed="false">
      <c r="A24" s="9" t="s">
        <v>314</v>
      </c>
      <c r="B24" s="9" t="s">
        <v>303</v>
      </c>
      <c r="C24" s="9" t="s">
        <v>312</v>
      </c>
      <c r="D24" s="14" t="s">
        <v>285</v>
      </c>
      <c r="E24" s="10"/>
    </row>
    <row r="25" customFormat="false" ht="15" hidden="false" customHeight="false" outlineLevel="0" collapsed="false">
      <c r="A25" s="9" t="s">
        <v>315</v>
      </c>
      <c r="B25" s="9" t="s">
        <v>303</v>
      </c>
      <c r="C25" s="9" t="s">
        <v>312</v>
      </c>
      <c r="D25" s="9" t="s">
        <v>291</v>
      </c>
      <c r="E25" s="10"/>
    </row>
    <row r="26" customFormat="false" ht="15" hidden="false" customHeight="false" outlineLevel="0" collapsed="false">
      <c r="A26" s="9" t="s">
        <v>316</v>
      </c>
      <c r="B26" s="9" t="s">
        <v>303</v>
      </c>
      <c r="C26" s="9" t="s">
        <v>312</v>
      </c>
      <c r="D26" s="9" t="s">
        <v>291</v>
      </c>
      <c r="E26" s="10"/>
    </row>
    <row r="27" customFormat="false" ht="15" hidden="false" customHeight="false" outlineLevel="0" collapsed="false">
      <c r="A27" s="9" t="s">
        <v>317</v>
      </c>
      <c r="B27" s="9" t="s">
        <v>303</v>
      </c>
      <c r="C27" s="9" t="s">
        <v>312</v>
      </c>
      <c r="D27" s="9" t="s">
        <v>291</v>
      </c>
      <c r="E27" s="10"/>
    </row>
    <row r="28" customFormat="false" ht="15" hidden="false" customHeight="false" outlineLevel="0" collapsed="false">
      <c r="A28" s="9" t="s">
        <v>318</v>
      </c>
      <c r="B28" s="9" t="s">
        <v>303</v>
      </c>
      <c r="C28" s="9" t="s">
        <v>312</v>
      </c>
      <c r="D28" s="14" t="s">
        <v>285</v>
      </c>
      <c r="E28" s="10"/>
    </row>
    <row r="29" customFormat="false" ht="15" hidden="false" customHeight="false" outlineLevel="0" collapsed="false">
      <c r="A29" s="9" t="s">
        <v>319</v>
      </c>
      <c r="B29" s="9" t="s">
        <v>303</v>
      </c>
      <c r="C29" s="9" t="s">
        <v>312</v>
      </c>
      <c r="D29" s="14" t="s">
        <v>285</v>
      </c>
      <c r="E29" s="10"/>
    </row>
    <row r="30" customFormat="false" ht="15" hidden="false" customHeight="false" outlineLevel="0" collapsed="false">
      <c r="A30" s="9" t="s">
        <v>320</v>
      </c>
      <c r="B30" s="9" t="s">
        <v>321</v>
      </c>
      <c r="C30" s="9" t="s">
        <v>322</v>
      </c>
      <c r="D30" s="14" t="s">
        <v>285</v>
      </c>
      <c r="E30" s="10"/>
    </row>
    <row r="31" customFormat="false" ht="15" hidden="false" customHeight="false" outlineLevel="0" collapsed="false">
      <c r="A31" s="9" t="s">
        <v>323</v>
      </c>
      <c r="B31" s="9" t="s">
        <v>321</v>
      </c>
      <c r="C31" s="9" t="s">
        <v>324</v>
      </c>
      <c r="D31" s="9" t="s">
        <v>325</v>
      </c>
      <c r="E31" s="10"/>
    </row>
    <row r="32" customFormat="false" ht="15" hidden="false" customHeight="false" outlineLevel="0" collapsed="false">
      <c r="A32" s="9" t="s">
        <v>326</v>
      </c>
      <c r="B32" s="9" t="s">
        <v>321</v>
      </c>
      <c r="C32" s="9" t="s">
        <v>327</v>
      </c>
      <c r="D32" s="9" t="s">
        <v>325</v>
      </c>
      <c r="E32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328</v>
      </c>
      <c r="B1" s="7"/>
      <c r="C1" s="7"/>
      <c r="D1" s="7"/>
    </row>
    <row r="2" customFormat="false" ht="15" hidden="false" customHeight="false" outlineLevel="0" collapsed="false">
      <c r="A2" s="15" t="s">
        <v>329</v>
      </c>
    </row>
    <row r="4" customFormat="false" ht="15" hidden="false" customHeight="false" outlineLevel="0" collapsed="false">
      <c r="A4" s="16" t="s">
        <v>330</v>
      </c>
      <c r="B4" s="16"/>
      <c r="C4" s="16"/>
      <c r="D4" s="16"/>
    </row>
    <row r="5" customFormat="false" ht="15" hidden="false" customHeight="false" outlineLevel="0" collapsed="false">
      <c r="A5" s="0" t="s">
        <v>331</v>
      </c>
      <c r="B5" s="10"/>
      <c r="C5" s="17" t="s">
        <v>332</v>
      </c>
    </row>
    <row r="7" customFormat="false" ht="15" hidden="false" customHeight="false" outlineLevel="0" collapsed="false">
      <c r="A7" s="16" t="s">
        <v>333</v>
      </c>
      <c r="B7" s="16"/>
      <c r="C7" s="16"/>
      <c r="D7" s="16"/>
    </row>
    <row r="8" customFormat="false" ht="15" hidden="false" customHeight="false" outlineLevel="0" collapsed="false">
      <c r="A8" s="0" t="s">
        <v>334</v>
      </c>
      <c r="B8" s="0" t="n">
        <f aca="false">B5*0.9235</f>
        <v>0</v>
      </c>
      <c r="C8" s="0" t="s">
        <v>335</v>
      </c>
    </row>
    <row r="9" customFormat="false" ht="15" hidden="false" customHeight="false" outlineLevel="0" collapsed="false">
      <c r="A9" s="0" t="s">
        <v>336</v>
      </c>
      <c r="B9" s="0" t="n">
        <f aca="false">B8*0.153</f>
        <v>0</v>
      </c>
    </row>
    <row r="10" customFormat="false" ht="15" hidden="false" customHeight="false" outlineLevel="0" collapsed="false">
      <c r="A10" s="0" t="s">
        <v>337</v>
      </c>
      <c r="B10" s="0" t="n">
        <f aca="false">B9/2</f>
        <v>0</v>
      </c>
    </row>
    <row r="11" customFormat="false" ht="15" hidden="false" customHeight="false" outlineLevel="0" collapsed="false">
      <c r="A11" s="0" t="s">
        <v>338</v>
      </c>
      <c r="B11" s="0" t="n">
        <f aca="false">B8-B10</f>
        <v>0</v>
      </c>
    </row>
    <row r="12" customFormat="false" ht="15" hidden="false" customHeight="false" outlineLevel="0" collapsed="false">
      <c r="A12" s="0" t="s">
        <v>339</v>
      </c>
      <c r="B12" s="0" t="s">
        <v>340</v>
      </c>
      <c r="C12" s="0" t="s">
        <v>341</v>
      </c>
    </row>
    <row r="13" customFormat="false" ht="15" hidden="false" customHeight="false" outlineLevel="0" collapsed="false">
      <c r="A13" s="0" t="s">
        <v>342</v>
      </c>
      <c r="B13" s="0" t="n">
        <f aca="false">B11*B12</f>
        <v>0</v>
      </c>
    </row>
    <row r="15" customFormat="false" ht="15" hidden="false" customHeight="false" outlineLevel="0" collapsed="false">
      <c r="A15" s="18" t="s">
        <v>343</v>
      </c>
      <c r="B15" s="18"/>
      <c r="C15" s="18"/>
      <c r="D15" s="18"/>
    </row>
    <row r="16" customFormat="false" ht="15" hidden="false" customHeight="false" outlineLevel="0" collapsed="false">
      <c r="A16" s="19" t="s">
        <v>344</v>
      </c>
      <c r="B16" s="19" t="n">
        <f aca="false">MIN(B13,69000)</f>
        <v>0</v>
      </c>
      <c r="C16" s="17" t="s">
        <v>345</v>
      </c>
    </row>
    <row r="18" customFormat="false" ht="15" hidden="false" customHeight="false" outlineLevel="0" collapsed="false">
      <c r="A18" s="15" t="s">
        <v>346</v>
      </c>
    </row>
    <row r="20" customFormat="false" ht="15" hidden="false" customHeight="false" outlineLevel="0" collapsed="false">
      <c r="A20" s="20" t="s">
        <v>347</v>
      </c>
    </row>
  </sheetData>
  <mergeCells count="4">
    <mergeCell ref="A1:D1"/>
    <mergeCell ref="A4:D4"/>
    <mergeCell ref="A7:D7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348</v>
      </c>
      <c r="B1" s="7"/>
      <c r="C1" s="7"/>
      <c r="D1" s="7"/>
    </row>
    <row r="2" customFormat="false" ht="15" hidden="false" customHeight="false" outlineLevel="0" collapsed="false">
      <c r="A2" s="15" t="s">
        <v>349</v>
      </c>
    </row>
    <row r="4" customFormat="false" ht="15" hidden="false" customHeight="false" outlineLevel="0" collapsed="false">
      <c r="A4" s="16" t="s">
        <v>350</v>
      </c>
      <c r="B4" s="16"/>
      <c r="C4" s="16"/>
      <c r="D4" s="16"/>
    </row>
    <row r="5" customFormat="false" ht="15" hidden="false" customHeight="false" outlineLevel="0" collapsed="false">
      <c r="A5" s="0" t="s">
        <v>351</v>
      </c>
      <c r="B5" s="21"/>
      <c r="C5" s="17" t="s">
        <v>352</v>
      </c>
    </row>
    <row r="6" customFormat="false" ht="15" hidden="false" customHeight="false" outlineLevel="0" collapsed="false">
      <c r="A6" s="0" t="s">
        <v>353</v>
      </c>
      <c r="B6" s="21"/>
      <c r="C6" s="17" t="s">
        <v>354</v>
      </c>
    </row>
    <row r="7" customFormat="false" ht="15" hidden="false" customHeight="false" outlineLevel="0" collapsed="false">
      <c r="A7" s="0" t="s">
        <v>355</v>
      </c>
      <c r="B7" s="21"/>
      <c r="C7" s="17" t="s">
        <v>352</v>
      </c>
    </row>
    <row r="9" customFormat="false" ht="15" hidden="false" customHeight="false" outlineLevel="0" collapsed="false">
      <c r="A9" s="16" t="s">
        <v>356</v>
      </c>
      <c r="B9" s="16"/>
      <c r="C9" s="16"/>
      <c r="D9" s="16"/>
    </row>
    <row r="10" customFormat="false" ht="15" hidden="false" customHeight="false" outlineLevel="0" collapsed="false">
      <c r="A10" s="0" t="s">
        <v>357</v>
      </c>
    </row>
    <row r="11" customFormat="false" ht="15" hidden="false" customHeight="false" outlineLevel="0" collapsed="false">
      <c r="A11" s="0" t="s">
        <v>358</v>
      </c>
    </row>
    <row r="13" customFormat="false" ht="15" hidden="false" customHeight="false" outlineLevel="0" collapsed="false">
      <c r="A13" s="16" t="s">
        <v>359</v>
      </c>
      <c r="B13" s="16"/>
      <c r="C13" s="16"/>
      <c r="D13" s="16"/>
    </row>
    <row r="14" customFormat="false" ht="15" hidden="false" customHeight="false" outlineLevel="0" collapsed="false">
      <c r="A14" s="0" t="s">
        <v>360</v>
      </c>
      <c r="B14" s="0" t="s">
        <v>361</v>
      </c>
    </row>
    <row r="15" customFormat="false" ht="15" hidden="false" customHeight="false" outlineLevel="0" collapsed="false">
      <c r="A15" s="0" t="s">
        <v>362</v>
      </c>
      <c r="B15" s="0" t="s">
        <v>363</v>
      </c>
    </row>
    <row r="16" customFormat="false" ht="15" hidden="false" customHeight="false" outlineLevel="0" collapsed="false">
      <c r="A16" s="0" t="s">
        <v>364</v>
      </c>
      <c r="B16" s="0" t="s">
        <v>365</v>
      </c>
    </row>
    <row r="18" customFormat="false" ht="15" hidden="false" customHeight="false" outlineLevel="0" collapsed="false">
      <c r="A18" s="16" t="s">
        <v>366</v>
      </c>
      <c r="B18" s="16"/>
      <c r="C18" s="16"/>
      <c r="D18" s="16"/>
    </row>
    <row r="19" customFormat="false" ht="15" hidden="false" customHeight="false" outlineLevel="0" collapsed="false">
      <c r="A19" s="0" t="s">
        <v>367</v>
      </c>
      <c r="B19" s="21"/>
    </row>
    <row r="20" customFormat="false" ht="15" hidden="false" customHeight="false" outlineLevel="0" collapsed="false">
      <c r="A20" s="0" t="s">
        <v>368</v>
      </c>
      <c r="B20" s="21"/>
      <c r="C20" s="17" t="s">
        <v>369</v>
      </c>
    </row>
    <row r="22" customFormat="false" ht="15" hidden="false" customHeight="false" outlineLevel="0" collapsed="false">
      <c r="A22" s="18" t="s">
        <v>343</v>
      </c>
      <c r="B22" s="18"/>
      <c r="C22" s="18"/>
      <c r="D22" s="18"/>
    </row>
    <row r="23" customFormat="false" ht="15" hidden="false" customHeight="false" outlineLevel="0" collapsed="false">
      <c r="A23" s="19" t="s">
        <v>370</v>
      </c>
      <c r="B23" s="19" t="n">
        <f aca="false">B20-B19</f>
        <v>0</v>
      </c>
    </row>
    <row r="25" customFormat="false" ht="15" hidden="false" customHeight="false" outlineLevel="0" collapsed="false">
      <c r="A25" s="15" t="s">
        <v>371</v>
      </c>
    </row>
  </sheetData>
  <mergeCells count="6">
    <mergeCell ref="A1:D1"/>
    <mergeCell ref="A4:D4"/>
    <mergeCell ref="A9:D9"/>
    <mergeCell ref="A13:D13"/>
    <mergeCell ref="A18:D1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372</v>
      </c>
      <c r="B1" s="7"/>
      <c r="C1" s="7"/>
      <c r="D1" s="7"/>
    </row>
    <row r="2" customFormat="false" ht="15" hidden="false" customHeight="false" outlineLevel="0" collapsed="false">
      <c r="A2" s="15" t="s">
        <v>373</v>
      </c>
    </row>
    <row r="4" customFormat="false" ht="15" hidden="false" customHeight="false" outlineLevel="0" collapsed="false">
      <c r="A4" s="16" t="s">
        <v>330</v>
      </c>
      <c r="B4" s="16"/>
      <c r="C4" s="16"/>
      <c r="D4" s="16"/>
    </row>
    <row r="5" customFormat="false" ht="15" hidden="false" customHeight="false" outlineLevel="0" collapsed="false">
      <c r="A5" s="0" t="s">
        <v>374</v>
      </c>
      <c r="B5" s="21"/>
    </row>
    <row r="6" customFormat="false" ht="15" hidden="false" customHeight="false" outlineLevel="0" collapsed="false">
      <c r="A6" s="0" t="s">
        <v>375</v>
      </c>
      <c r="B6" s="21"/>
    </row>
    <row r="7" customFormat="false" ht="15" hidden="false" customHeight="false" outlineLevel="0" collapsed="false">
      <c r="A7" s="0" t="s">
        <v>376</v>
      </c>
      <c r="B7" s="21"/>
      <c r="C7" s="17" t="s">
        <v>377</v>
      </c>
    </row>
    <row r="9" customFormat="false" ht="15" hidden="false" customHeight="false" outlineLevel="0" collapsed="false">
      <c r="A9" s="16" t="s">
        <v>378</v>
      </c>
      <c r="B9" s="16"/>
      <c r="C9" s="16"/>
      <c r="D9" s="16"/>
    </row>
    <row r="10" customFormat="false" ht="15" hidden="false" customHeight="false" outlineLevel="0" collapsed="false">
      <c r="A10" s="0" t="s">
        <v>379</v>
      </c>
    </row>
    <row r="11" customFormat="false" ht="15" hidden="false" customHeight="false" outlineLevel="0" collapsed="false">
      <c r="A11" s="0" t="s">
        <v>380</v>
      </c>
    </row>
    <row r="12" customFormat="false" ht="15" hidden="false" customHeight="false" outlineLevel="0" collapsed="false">
      <c r="A12" s="0" t="s">
        <v>381</v>
      </c>
      <c r="B12" s="4" t="n">
        <f aca="false">MIN(B5*5,1500)</f>
        <v>0</v>
      </c>
    </row>
    <row r="14" customFormat="false" ht="15" hidden="false" customHeight="false" outlineLevel="0" collapsed="false">
      <c r="A14" s="16" t="s">
        <v>382</v>
      </c>
      <c r="B14" s="16"/>
      <c r="C14" s="16"/>
      <c r="D14" s="16"/>
    </row>
    <row r="15" customFormat="false" ht="15" hidden="false" customHeight="false" outlineLevel="0" collapsed="false">
      <c r="A15" s="0" t="s">
        <v>383</v>
      </c>
      <c r="B15" s="0" t="n">
        <f aca="false">IF(B6&gt;0,B5/B6,0)</f>
        <v>0</v>
      </c>
      <c r="C15" s="0" t="s">
        <v>384</v>
      </c>
    </row>
    <row r="16" customFormat="false" ht="15" hidden="false" customHeight="false" outlineLevel="0" collapsed="false">
      <c r="A16" s="0" t="s">
        <v>385</v>
      </c>
      <c r="B16" s="4" t="n">
        <f aca="false">B7*B15</f>
        <v>0</v>
      </c>
    </row>
    <row r="18" customFormat="false" ht="15" hidden="false" customHeight="false" outlineLevel="0" collapsed="false">
      <c r="A18" s="18" t="s">
        <v>343</v>
      </c>
      <c r="B18" s="18"/>
      <c r="C18" s="18"/>
      <c r="D18" s="18"/>
    </row>
    <row r="19" customFormat="false" ht="15" hidden="false" customHeight="false" outlineLevel="0" collapsed="false">
      <c r="A19" s="0" t="s">
        <v>386</v>
      </c>
      <c r="B19" s="19" t="str">
        <f aca="false">IF(B12&gt;B16,"SIMPLIFIED","ACTUAL")</f>
        <v>ACTUAL</v>
      </c>
    </row>
    <row r="20" customFormat="false" ht="15" hidden="false" customHeight="false" outlineLevel="0" collapsed="false">
      <c r="A20" s="0" t="s">
        <v>387</v>
      </c>
      <c r="B20" s="19" t="n">
        <f aca="false">MAX(B12,B16)</f>
        <v>0</v>
      </c>
    </row>
  </sheetData>
  <mergeCells count="5">
    <mergeCell ref="A1:D1"/>
    <mergeCell ref="A4:D4"/>
    <mergeCell ref="A9:D9"/>
    <mergeCell ref="A14:D14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388</v>
      </c>
      <c r="B1" s="7"/>
      <c r="C1" s="7"/>
      <c r="D1" s="7"/>
    </row>
    <row r="2" customFormat="false" ht="15" hidden="false" customHeight="false" outlineLevel="0" collapsed="false">
      <c r="A2" s="15" t="s">
        <v>389</v>
      </c>
    </row>
    <row r="4" customFormat="false" ht="15" hidden="false" customHeight="false" outlineLevel="0" collapsed="false">
      <c r="A4" s="16" t="s">
        <v>330</v>
      </c>
      <c r="B4" s="16"/>
      <c r="C4" s="16"/>
      <c r="D4" s="16"/>
    </row>
    <row r="5" customFormat="false" ht="15" hidden="false" customHeight="false" outlineLevel="0" collapsed="false">
      <c r="A5" s="0" t="s">
        <v>390</v>
      </c>
      <c r="B5" s="21"/>
    </row>
    <row r="7" customFormat="false" ht="15" hidden="false" customHeight="false" outlineLevel="0" collapsed="false">
      <c r="A7" s="4" t="s">
        <v>391</v>
      </c>
    </row>
    <row r="8" customFormat="false" ht="15" hidden="false" customHeight="false" outlineLevel="0" collapsed="false">
      <c r="A8" s="0" t="s">
        <v>392</v>
      </c>
      <c r="B8" s="21"/>
    </row>
    <row r="9" customFormat="false" ht="15" hidden="false" customHeight="false" outlineLevel="0" collapsed="false">
      <c r="A9" s="0" t="s">
        <v>393</v>
      </c>
      <c r="B9" s="21"/>
    </row>
    <row r="10" customFormat="false" ht="15" hidden="false" customHeight="false" outlineLevel="0" collapsed="false">
      <c r="A10" s="0" t="s">
        <v>394</v>
      </c>
      <c r="B10" s="21"/>
    </row>
    <row r="12" customFormat="false" ht="15" hidden="false" customHeight="false" outlineLevel="0" collapsed="false">
      <c r="A12" s="16" t="s">
        <v>395</v>
      </c>
      <c r="B12" s="16"/>
      <c r="C12" s="16"/>
      <c r="D12" s="16"/>
    </row>
    <row r="13" customFormat="false" ht="15" hidden="false" customHeight="false" outlineLevel="0" collapsed="false">
      <c r="A13" s="0" t="s">
        <v>396</v>
      </c>
    </row>
    <row r="14" customFormat="false" ht="15" hidden="false" customHeight="false" outlineLevel="0" collapsed="false">
      <c r="A14" s="0" t="s">
        <v>397</v>
      </c>
      <c r="B14" s="4" t="n">
        <f aca="false">B5*0.67</f>
        <v>0</v>
      </c>
    </row>
    <row r="16" customFormat="false" ht="15" hidden="false" customHeight="false" outlineLevel="0" collapsed="false">
      <c r="A16" s="16" t="s">
        <v>382</v>
      </c>
      <c r="B16" s="16"/>
      <c r="C16" s="16"/>
      <c r="D16" s="16"/>
    </row>
    <row r="17" customFormat="false" ht="15" hidden="false" customHeight="false" outlineLevel="0" collapsed="false">
      <c r="A17" s="0" t="s">
        <v>383</v>
      </c>
      <c r="B17" s="0" t="n">
        <f aca="false">IF(B10&gt;0,B5/B10,0)</f>
        <v>0</v>
      </c>
    </row>
    <row r="18" customFormat="false" ht="15" hidden="false" customHeight="false" outlineLevel="0" collapsed="false">
      <c r="A18" s="0" t="s">
        <v>385</v>
      </c>
      <c r="B18" s="4" t="n">
        <f aca="false">(B8+B9)*B17</f>
        <v>0</v>
      </c>
    </row>
    <row r="20" customFormat="false" ht="15" hidden="false" customHeight="false" outlineLevel="0" collapsed="false">
      <c r="A20" s="18" t="s">
        <v>343</v>
      </c>
      <c r="B20" s="18"/>
      <c r="C20" s="18"/>
      <c r="D20" s="18"/>
    </row>
    <row r="21" customFormat="false" ht="15" hidden="false" customHeight="false" outlineLevel="0" collapsed="false">
      <c r="A21" s="0" t="s">
        <v>386</v>
      </c>
      <c r="B21" s="19" t="str">
        <f aca="false">IF(B14&gt;B18,"STANDARD","ACTUAL")</f>
        <v>ACTUAL</v>
      </c>
    </row>
    <row r="22" customFormat="false" ht="15" hidden="false" customHeight="false" outlineLevel="0" collapsed="false">
      <c r="A22" s="0" t="s">
        <v>387</v>
      </c>
      <c r="B22" s="19" t="n">
        <f aca="false">MAX(B14,B18)</f>
        <v>0</v>
      </c>
    </row>
    <row r="24" customFormat="false" ht="15" hidden="false" customHeight="false" outlineLevel="0" collapsed="false">
      <c r="A24" s="22" t="s">
        <v>398</v>
      </c>
    </row>
  </sheetData>
  <mergeCells count="5">
    <mergeCell ref="A1:D1"/>
    <mergeCell ref="A4:D4"/>
    <mergeCell ref="A12:D12"/>
    <mergeCell ref="A16:D16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399</v>
      </c>
      <c r="B1" s="7"/>
      <c r="C1" s="7"/>
      <c r="D1" s="7"/>
    </row>
    <row r="4" customFormat="false" ht="15" hidden="false" customHeight="false" outlineLevel="0" collapsed="false">
      <c r="A4" s="16" t="s">
        <v>330</v>
      </c>
      <c r="B4" s="16"/>
      <c r="C4" s="16"/>
      <c r="D4" s="16"/>
    </row>
    <row r="5" customFormat="false" ht="15" hidden="false" customHeight="false" outlineLevel="0" collapsed="false">
      <c r="A5" s="0" t="s">
        <v>400</v>
      </c>
      <c r="B5" s="21"/>
    </row>
    <row r="6" customFormat="false" ht="15" hidden="false" customHeight="false" outlineLevel="0" collapsed="false">
      <c r="A6" s="0" t="s">
        <v>401</v>
      </c>
      <c r="B6" s="21"/>
    </row>
    <row r="7" customFormat="false" ht="15" hidden="false" customHeight="false" outlineLevel="0" collapsed="false">
      <c r="A7" s="0" t="s">
        <v>402</v>
      </c>
      <c r="B7" s="21"/>
      <c r="C7" s="17" t="s">
        <v>352</v>
      </c>
    </row>
    <row r="9" customFormat="false" ht="15" hidden="false" customHeight="false" outlineLevel="0" collapsed="false">
      <c r="A9" s="16" t="s">
        <v>403</v>
      </c>
      <c r="B9" s="16"/>
      <c r="C9" s="16"/>
      <c r="D9" s="16"/>
    </row>
    <row r="10" customFormat="false" ht="15" hidden="false" customHeight="false" outlineLevel="0" collapsed="false">
      <c r="A10" s="0" t="s">
        <v>404</v>
      </c>
    </row>
    <row r="11" customFormat="false" ht="15" hidden="false" customHeight="false" outlineLevel="0" collapsed="false">
      <c r="A11" s="0" t="s">
        <v>405</v>
      </c>
    </row>
    <row r="12" customFormat="false" ht="15" hidden="false" customHeight="false" outlineLevel="0" collapsed="false">
      <c r="A12" s="0" t="s">
        <v>406</v>
      </c>
    </row>
    <row r="14" customFormat="false" ht="15" hidden="false" customHeight="false" outlineLevel="0" collapsed="false">
      <c r="A14" s="18" t="s">
        <v>343</v>
      </c>
      <c r="B14" s="18"/>
      <c r="C14" s="18"/>
      <c r="D14" s="18"/>
    </row>
    <row r="15" customFormat="false" ht="15" hidden="false" customHeight="false" outlineLevel="0" collapsed="false">
      <c r="A15" s="19" t="s">
        <v>407</v>
      </c>
      <c r="B15" s="19" t="n">
        <f aca="false">IF(B7="YES",0,MIN(B5,B6))</f>
        <v>0</v>
      </c>
    </row>
    <row r="17" customFormat="false" ht="15" hidden="false" customHeight="false" outlineLevel="0" collapsed="false">
      <c r="A17" s="15" t="s">
        <v>408</v>
      </c>
    </row>
  </sheetData>
  <mergeCells count="4">
    <mergeCell ref="A1:D1"/>
    <mergeCell ref="A4:D4"/>
    <mergeCell ref="A9:D9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409</v>
      </c>
      <c r="B1" s="7"/>
      <c r="C1" s="7"/>
      <c r="D1" s="7"/>
    </row>
    <row r="2" customFormat="false" ht="15" hidden="false" customHeight="false" outlineLevel="0" collapsed="false">
      <c r="A2" s="15" t="s">
        <v>410</v>
      </c>
    </row>
    <row r="4" customFormat="false" ht="15" hidden="false" customHeight="false" outlineLevel="0" collapsed="false">
      <c r="A4" s="16" t="s">
        <v>330</v>
      </c>
      <c r="B4" s="16"/>
      <c r="C4" s="16"/>
      <c r="D4" s="16"/>
    </row>
    <row r="5" customFormat="false" ht="15" hidden="false" customHeight="false" outlineLevel="0" collapsed="false">
      <c r="A5" s="0" t="s">
        <v>411</v>
      </c>
      <c r="B5" s="21"/>
    </row>
    <row r="6" customFormat="false" ht="15" hidden="false" customHeight="false" outlineLevel="0" collapsed="false">
      <c r="A6" s="0" t="s">
        <v>412</v>
      </c>
      <c r="B6" s="21"/>
    </row>
    <row r="7" customFormat="false" ht="15" hidden="false" customHeight="false" outlineLevel="0" collapsed="false">
      <c r="A7" s="0" t="s">
        <v>413</v>
      </c>
      <c r="B7" s="21"/>
      <c r="C7" s="17" t="s">
        <v>414</v>
      </c>
    </row>
    <row r="9" customFormat="false" ht="15" hidden="false" customHeight="false" outlineLevel="0" collapsed="false">
      <c r="A9" s="16" t="s">
        <v>415</v>
      </c>
      <c r="B9" s="16"/>
      <c r="C9" s="16"/>
      <c r="D9" s="16"/>
    </row>
    <row r="10" customFormat="false" ht="15" hidden="false" customHeight="false" outlineLevel="0" collapsed="false">
      <c r="A10" s="0" t="s">
        <v>416</v>
      </c>
    </row>
    <row r="11" customFormat="false" ht="15" hidden="false" customHeight="false" outlineLevel="0" collapsed="false">
      <c r="A11" s="0" t="s">
        <v>417</v>
      </c>
    </row>
    <row r="12" customFormat="false" ht="15" hidden="false" customHeight="false" outlineLevel="0" collapsed="false">
      <c r="A12" s="0" t="s">
        <v>418</v>
      </c>
    </row>
    <row r="14" customFormat="false" ht="15" hidden="false" customHeight="false" outlineLevel="0" collapsed="false">
      <c r="A14" s="16" t="s">
        <v>366</v>
      </c>
      <c r="B14" s="16"/>
      <c r="C14" s="16"/>
      <c r="D14" s="16"/>
    </row>
    <row r="15" customFormat="false" ht="15" hidden="false" customHeight="false" outlineLevel="0" collapsed="false">
      <c r="A15" s="0" t="s">
        <v>419</v>
      </c>
      <c r="B15" s="0" t="n">
        <f aca="false">IF(B7="SINGLE",191950,383900)</f>
        <v>383900</v>
      </c>
    </row>
    <row r="16" customFormat="false" ht="15" hidden="false" customHeight="false" outlineLevel="0" collapsed="false">
      <c r="A16" s="0" t="s">
        <v>420</v>
      </c>
      <c r="B16" s="0" t="str">
        <f aca="false">IF(B5&lt;B15,"YES - Full 20%","CHECK PHASE-OUT")</f>
        <v>YES - Full 20%</v>
      </c>
    </row>
    <row r="17" customFormat="false" ht="15" hidden="false" customHeight="false" outlineLevel="0" collapsed="false">
      <c r="A17" s="0" t="s">
        <v>421</v>
      </c>
      <c r="B17" s="0" t="n">
        <f aca="false">B6*0.2</f>
        <v>0</v>
      </c>
    </row>
    <row r="19" customFormat="false" ht="15" hidden="false" customHeight="false" outlineLevel="0" collapsed="false">
      <c r="A19" s="18" t="s">
        <v>343</v>
      </c>
      <c r="B19" s="18"/>
      <c r="C19" s="18"/>
      <c r="D19" s="18"/>
    </row>
    <row r="20" customFormat="false" ht="15" hidden="false" customHeight="false" outlineLevel="0" collapsed="false">
      <c r="A20" s="19" t="s">
        <v>422</v>
      </c>
      <c r="B20" s="19" t="n">
        <f aca="false">IF(B5&lt;B15,B17,"CONSULT CPA - PHASE-OUT")</f>
        <v>0</v>
      </c>
    </row>
    <row r="22" customFormat="false" ht="15" hidden="false" customHeight="false" outlineLevel="0" collapsed="false">
      <c r="A22" s="15" t="s">
        <v>423</v>
      </c>
    </row>
    <row r="23" customFormat="false" ht="15" hidden="false" customHeight="false" outlineLevel="0" collapsed="false">
      <c r="A23" s="15" t="s">
        <v>424</v>
      </c>
    </row>
  </sheetData>
  <mergeCells count="5">
    <mergeCell ref="A1:D1"/>
    <mergeCell ref="A4:D4"/>
    <mergeCell ref="A9:D9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7" t="s">
        <v>425</v>
      </c>
      <c r="B1" s="7"/>
      <c r="C1" s="7"/>
    </row>
    <row r="3" customFormat="false" ht="28.35" hidden="false" customHeight="false" outlineLevel="0" collapsed="false">
      <c r="A3" s="8" t="s">
        <v>426</v>
      </c>
      <c r="B3" s="8" t="s">
        <v>427</v>
      </c>
      <c r="C3" s="8" t="s">
        <v>428</v>
      </c>
    </row>
    <row r="4" customFormat="false" ht="15" hidden="false" customHeight="false" outlineLevel="0" collapsed="false">
      <c r="A4" s="9" t="s">
        <v>429</v>
      </c>
      <c r="B4" s="9" t="n">
        <f aca="false">'🧮 SEP-IRA Calc'!B16</f>
        <v>0</v>
      </c>
      <c r="C4" s="9" t="s">
        <v>430</v>
      </c>
    </row>
    <row r="5" customFormat="false" ht="15" hidden="false" customHeight="false" outlineLevel="0" collapsed="false">
      <c r="A5" s="9" t="s">
        <v>431</v>
      </c>
      <c r="B5" s="9" t="n">
        <f aca="false">'🧮 HSA Calc'!B23</f>
        <v>0</v>
      </c>
      <c r="C5" s="9" t="s">
        <v>432</v>
      </c>
    </row>
    <row r="6" customFormat="false" ht="15" hidden="false" customHeight="false" outlineLevel="0" collapsed="false">
      <c r="A6" s="9" t="s">
        <v>433</v>
      </c>
      <c r="B6" s="9" t="n">
        <f aca="false">'🧮 Home Office Calc'!B20</f>
        <v>0</v>
      </c>
      <c r="C6" s="9" t="s">
        <v>434</v>
      </c>
    </row>
    <row r="7" customFormat="false" ht="15" hidden="false" customHeight="false" outlineLevel="0" collapsed="false">
      <c r="A7" s="9" t="s">
        <v>435</v>
      </c>
      <c r="B7" s="9" t="n">
        <f aca="false">'🧮 Vehicle Calc'!B22</f>
        <v>0</v>
      </c>
      <c r="C7" s="9" t="s">
        <v>436</v>
      </c>
    </row>
    <row r="8" customFormat="false" ht="15" hidden="false" customHeight="false" outlineLevel="0" collapsed="false">
      <c r="A8" s="9" t="s">
        <v>437</v>
      </c>
      <c r="B8" s="9" t="n">
        <f aca="false">'🧮 Health Ins Calc'!B15</f>
        <v>0</v>
      </c>
      <c r="C8" s="9" t="s">
        <v>438</v>
      </c>
    </row>
    <row r="9" customFormat="false" ht="15" hidden="false" customHeight="false" outlineLevel="0" collapsed="false">
      <c r="A9" s="19" t="s">
        <v>439</v>
      </c>
      <c r="B9" s="23" t="n">
        <f aca="false">SUM(B4:B8)</f>
        <v>0</v>
      </c>
    </row>
    <row r="11" customFormat="false" ht="15" hidden="false" customHeight="false" outlineLevel="0" collapsed="false">
      <c r="A11" s="0" t="s">
        <v>440</v>
      </c>
      <c r="B11" s="0" t="n">
        <f aca="false">'🧮 QBI Calc'!B20</f>
        <v>0</v>
      </c>
    </row>
    <row r="13" customFormat="false" ht="15" hidden="false" customHeight="false" outlineLevel="0" collapsed="false">
      <c r="A13" s="11" t="s">
        <v>441</v>
      </c>
      <c r="B13" s="11"/>
      <c r="C13" s="11"/>
    </row>
    <row r="15" customFormat="false" ht="15" hidden="false" customHeight="false" outlineLevel="0" collapsed="false">
      <c r="A15" s="16" t="s">
        <v>442</v>
      </c>
      <c r="B15" s="16"/>
      <c r="C15" s="16"/>
    </row>
    <row r="16" customFormat="false" ht="15" hidden="false" customHeight="false" outlineLevel="0" collapsed="false">
      <c r="A16" s="0" t="s">
        <v>443</v>
      </c>
      <c r="B16" s="0" t="s">
        <v>444</v>
      </c>
    </row>
    <row r="17" customFormat="false" ht="15" hidden="false" customHeight="false" outlineLevel="0" collapsed="false">
      <c r="A17" s="0" t="s">
        <v>445</v>
      </c>
      <c r="B17" s="0" t="s">
        <v>446</v>
      </c>
    </row>
  </sheetData>
  <mergeCells count="3">
    <mergeCell ref="A1:C1"/>
    <mergeCell ref="A13:C13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7" t="s">
        <v>447</v>
      </c>
      <c r="B1" s="7"/>
      <c r="C1" s="7"/>
      <c r="D1" s="7"/>
      <c r="E1" s="7"/>
    </row>
    <row r="2" customFormat="false" ht="15" hidden="false" customHeight="false" outlineLevel="0" collapsed="false">
      <c r="A2" s="12" t="s">
        <v>448</v>
      </c>
      <c r="B2" s="12"/>
      <c r="C2" s="12"/>
      <c r="D2" s="12"/>
      <c r="E2" s="12"/>
    </row>
    <row r="4" customFormat="false" ht="15" hidden="false" customHeight="false" outlineLevel="0" collapsed="false">
      <c r="A4" s="8" t="s">
        <v>449</v>
      </c>
      <c r="B4" s="8" t="s">
        <v>450</v>
      </c>
      <c r="C4" s="8" t="s">
        <v>451</v>
      </c>
      <c r="D4" s="8" t="s">
        <v>452</v>
      </c>
      <c r="E4" s="8" t="s">
        <v>453</v>
      </c>
    </row>
    <row r="5" customFormat="false" ht="15" hidden="false" customHeight="false" outlineLevel="0" collapsed="false">
      <c r="A5" s="9" t="s">
        <v>454</v>
      </c>
      <c r="B5" s="10"/>
      <c r="C5" s="10"/>
      <c r="D5" s="10"/>
      <c r="E5" s="9" t="s">
        <v>455</v>
      </c>
    </row>
    <row r="6" customFormat="false" ht="15" hidden="false" customHeight="false" outlineLevel="0" collapsed="false">
      <c r="A6" s="9" t="s">
        <v>456</v>
      </c>
      <c r="B6" s="10"/>
      <c r="C6" s="10"/>
      <c r="D6" s="10"/>
      <c r="E6" s="9" t="s">
        <v>457</v>
      </c>
    </row>
    <row r="7" customFormat="false" ht="15" hidden="false" customHeight="false" outlineLevel="0" collapsed="false">
      <c r="A7" s="9" t="s">
        <v>458</v>
      </c>
      <c r="B7" s="10"/>
      <c r="C7" s="10"/>
      <c r="D7" s="10"/>
      <c r="E7" s="9" t="s">
        <v>459</v>
      </c>
    </row>
    <row r="8" customFormat="false" ht="15" hidden="false" customHeight="false" outlineLevel="0" collapsed="false">
      <c r="A8" s="9" t="s">
        <v>460</v>
      </c>
      <c r="B8" s="10"/>
      <c r="C8" s="10"/>
      <c r="D8" s="10"/>
      <c r="E8" s="9" t="s">
        <v>461</v>
      </c>
    </row>
    <row r="9" customFormat="false" ht="15" hidden="false" customHeight="false" outlineLevel="0" collapsed="false">
      <c r="A9" s="9" t="s">
        <v>462</v>
      </c>
      <c r="B9" s="10"/>
      <c r="C9" s="10"/>
      <c r="D9" s="10"/>
      <c r="E9" s="9" t="s">
        <v>463</v>
      </c>
    </row>
    <row r="10" customFormat="false" ht="15" hidden="false" customHeight="false" outlineLevel="0" collapsed="false">
      <c r="A10" s="9" t="s">
        <v>464</v>
      </c>
      <c r="B10" s="10"/>
      <c r="C10" s="10"/>
      <c r="D10" s="10"/>
      <c r="E10" s="9" t="s">
        <v>465</v>
      </c>
    </row>
    <row r="11" customFormat="false" ht="15" hidden="false" customHeight="false" outlineLevel="0" collapsed="false">
      <c r="A11" s="9" t="s">
        <v>466</v>
      </c>
      <c r="B11" s="10"/>
      <c r="C11" s="10"/>
      <c r="D11" s="10"/>
      <c r="E11" s="9" t="s">
        <v>467</v>
      </c>
    </row>
    <row r="12" customFormat="false" ht="15" hidden="false" customHeight="false" outlineLevel="0" collapsed="false">
      <c r="A12" s="9" t="s">
        <v>468</v>
      </c>
      <c r="B12" s="10"/>
      <c r="C12" s="10"/>
      <c r="D12" s="10"/>
      <c r="E12" s="9" t="s">
        <v>469</v>
      </c>
    </row>
    <row r="13" customFormat="false" ht="15" hidden="false" customHeight="false" outlineLevel="0" collapsed="false">
      <c r="A13" s="9" t="s">
        <v>470</v>
      </c>
      <c r="B13" s="10"/>
      <c r="C13" s="10"/>
      <c r="D13" s="10"/>
      <c r="E13" s="9" t="s">
        <v>471</v>
      </c>
    </row>
    <row r="14" customFormat="false" ht="15" hidden="false" customHeight="false" outlineLevel="0" collapsed="false">
      <c r="A14" s="9" t="s">
        <v>472</v>
      </c>
      <c r="B14" s="10"/>
      <c r="C14" s="10"/>
      <c r="D14" s="10"/>
      <c r="E14" s="9" t="s">
        <v>473</v>
      </c>
    </row>
    <row r="15" customFormat="false" ht="15" hidden="false" customHeight="false" outlineLevel="0" collapsed="false">
      <c r="A15" s="9" t="s">
        <v>474</v>
      </c>
      <c r="B15" s="10"/>
      <c r="C15" s="10"/>
      <c r="D15" s="10"/>
      <c r="E15" s="9" t="s">
        <v>475</v>
      </c>
    </row>
    <row r="16" customFormat="false" ht="15" hidden="false" customHeight="false" outlineLevel="0" collapsed="false">
      <c r="A16" s="9" t="s">
        <v>476</v>
      </c>
      <c r="B16" s="10"/>
      <c r="C16" s="10"/>
      <c r="D16" s="10"/>
      <c r="E16" s="9" t="s">
        <v>477</v>
      </c>
    </row>
    <row r="17" customFormat="false" ht="15" hidden="false" customHeight="false" outlineLevel="0" collapsed="false">
      <c r="A17" s="9" t="s">
        <v>478</v>
      </c>
      <c r="B17" s="10"/>
      <c r="C17" s="10"/>
      <c r="D17" s="10"/>
      <c r="E17" s="9" t="s">
        <v>479</v>
      </c>
    </row>
    <row r="18" customFormat="false" ht="15" hidden="false" customHeight="false" outlineLevel="0" collapsed="false">
      <c r="A18" s="9" t="s">
        <v>480</v>
      </c>
      <c r="B18" s="10"/>
      <c r="C18" s="10"/>
      <c r="D18" s="10"/>
      <c r="E18" s="9" t="s">
        <v>481</v>
      </c>
    </row>
    <row r="19" customFormat="false" ht="15" hidden="false" customHeight="false" outlineLevel="0" collapsed="false">
      <c r="A19" s="9" t="s">
        <v>482</v>
      </c>
      <c r="B19" s="10"/>
      <c r="C19" s="10"/>
      <c r="D19" s="10"/>
      <c r="E19" s="9" t="s">
        <v>483</v>
      </c>
    </row>
    <row r="20" customFormat="false" ht="15" hidden="false" customHeight="false" outlineLevel="0" collapsed="false">
      <c r="A20" s="9" t="s">
        <v>484</v>
      </c>
      <c r="B20" s="10"/>
      <c r="C20" s="10"/>
      <c r="D20" s="10"/>
      <c r="E20" s="9" t="s">
        <v>485</v>
      </c>
    </row>
    <row r="21" customFormat="false" ht="15" hidden="false" customHeight="false" outlineLevel="0" collapsed="false">
      <c r="A21" s="9" t="s">
        <v>486</v>
      </c>
      <c r="B21" s="10"/>
      <c r="C21" s="10"/>
      <c r="D21" s="10"/>
      <c r="E21" s="9" t="s">
        <v>487</v>
      </c>
    </row>
    <row r="22" customFormat="false" ht="15" hidden="false" customHeight="false" outlineLevel="0" collapsed="false">
      <c r="A22" s="9" t="s">
        <v>488</v>
      </c>
      <c r="B22" s="10"/>
      <c r="C22" s="10"/>
      <c r="D22" s="10"/>
      <c r="E22" s="9" t="s">
        <v>489</v>
      </c>
    </row>
    <row r="23" customFormat="false" ht="15" hidden="false" customHeight="false" outlineLevel="0" collapsed="false">
      <c r="A23" s="9" t="s">
        <v>490</v>
      </c>
      <c r="B23" s="10"/>
      <c r="C23" s="10"/>
      <c r="D23" s="10"/>
      <c r="E23" s="9" t="s">
        <v>491</v>
      </c>
    </row>
    <row r="24" customFormat="false" ht="15" hidden="false" customHeight="false" outlineLevel="0" collapsed="false">
      <c r="A24" s="9" t="s">
        <v>492</v>
      </c>
      <c r="B24" s="10"/>
      <c r="C24" s="10"/>
      <c r="D24" s="10"/>
      <c r="E24" s="9" t="s">
        <v>493</v>
      </c>
    </row>
    <row r="25" customFormat="false" ht="15" hidden="false" customHeight="false" outlineLevel="0" collapsed="false">
      <c r="A25" s="9" t="s">
        <v>494</v>
      </c>
      <c r="B25" s="10"/>
      <c r="C25" s="10"/>
      <c r="D25" s="10"/>
      <c r="E25" s="9" t="s">
        <v>495</v>
      </c>
    </row>
    <row r="26" customFormat="false" ht="15" hidden="false" customHeight="false" outlineLevel="0" collapsed="false">
      <c r="A26" s="9" t="s">
        <v>496</v>
      </c>
      <c r="B26" s="10"/>
      <c r="C26" s="10"/>
      <c r="D26" s="10"/>
      <c r="E26" s="9" t="s">
        <v>497</v>
      </c>
    </row>
    <row r="27" customFormat="false" ht="15" hidden="false" customHeight="false" outlineLevel="0" collapsed="false">
      <c r="A27" s="9" t="s">
        <v>498</v>
      </c>
      <c r="B27" s="10"/>
      <c r="C27" s="10"/>
      <c r="D27" s="10"/>
      <c r="E27" s="9" t="s">
        <v>499</v>
      </c>
    </row>
    <row r="28" customFormat="false" ht="15" hidden="false" customHeight="false" outlineLevel="0" collapsed="false">
      <c r="A28" s="9" t="s">
        <v>500</v>
      </c>
      <c r="B28" s="10"/>
      <c r="C28" s="10"/>
      <c r="D28" s="10"/>
      <c r="E28" s="9" t="s">
        <v>501</v>
      </c>
    </row>
    <row r="29" customFormat="false" ht="15" hidden="false" customHeight="false" outlineLevel="0" collapsed="false">
      <c r="A29" s="9" t="s">
        <v>502</v>
      </c>
      <c r="B29" s="10"/>
      <c r="C29" s="10"/>
      <c r="D29" s="10"/>
      <c r="E29" s="9" t="s">
        <v>503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7.35" hidden="false" customHeight="false" outlineLevel="0" collapsed="false">
      <c r="A1" s="7" t="s">
        <v>504</v>
      </c>
      <c r="B1" s="7"/>
      <c r="C1" s="7"/>
      <c r="D1" s="7"/>
    </row>
    <row r="2" customFormat="false" ht="15" hidden="false" customHeight="false" outlineLevel="0" collapsed="false">
      <c r="A2" s="12" t="s">
        <v>505</v>
      </c>
      <c r="B2" s="12"/>
      <c r="C2" s="12"/>
      <c r="D2" s="12"/>
    </row>
    <row r="4" customFormat="false" ht="15" hidden="false" customHeight="false" outlineLevel="0" collapsed="false">
      <c r="A4" s="16" t="s">
        <v>506</v>
      </c>
      <c r="B4" s="16"/>
      <c r="C4" s="16"/>
      <c r="D4" s="16"/>
    </row>
    <row r="5" customFormat="false" ht="15" hidden="false" customHeight="false" outlineLevel="0" collapsed="false">
      <c r="A5" s="0" t="s">
        <v>507</v>
      </c>
      <c r="B5" s="0" t="s">
        <v>508</v>
      </c>
      <c r="C5" s="0" t="s">
        <v>509</v>
      </c>
      <c r="D5" s="0" t="s">
        <v>510</v>
      </c>
    </row>
    <row r="6" customFormat="false" ht="15" hidden="false" customHeight="false" outlineLevel="0" collapsed="false">
      <c r="A6" s="0" t="s">
        <v>511</v>
      </c>
      <c r="B6" s="0" t="s">
        <v>512</v>
      </c>
      <c r="C6" s="0" t="s">
        <v>513</v>
      </c>
      <c r="D6" s="0" t="s">
        <v>514</v>
      </c>
    </row>
    <row r="7" customFormat="false" ht="15" hidden="false" customHeight="false" outlineLevel="0" collapsed="false">
      <c r="A7" s="0" t="s">
        <v>515</v>
      </c>
      <c r="B7" s="0" t="s">
        <v>516</v>
      </c>
      <c r="C7" s="0" t="s">
        <v>517</v>
      </c>
      <c r="D7" s="0" t="s">
        <v>518</v>
      </c>
    </row>
    <row r="8" customFormat="false" ht="15" hidden="false" customHeight="false" outlineLevel="0" collapsed="false">
      <c r="A8" s="0" t="s">
        <v>519</v>
      </c>
      <c r="B8" s="0" t="s">
        <v>520</v>
      </c>
      <c r="C8" s="0" t="s">
        <v>521</v>
      </c>
      <c r="D8" s="0" t="s">
        <v>522</v>
      </c>
    </row>
    <row r="10" customFormat="false" ht="15" hidden="false" customHeight="false" outlineLevel="0" collapsed="false">
      <c r="A10" s="16" t="s">
        <v>523</v>
      </c>
      <c r="B10" s="16"/>
      <c r="C10" s="16"/>
      <c r="D10" s="16"/>
    </row>
    <row r="11" customFormat="false" ht="15" hidden="false" customHeight="false" outlineLevel="0" collapsed="false">
      <c r="A11" s="0" t="s">
        <v>524</v>
      </c>
      <c r="B11" s="0" t="s">
        <v>525</v>
      </c>
      <c r="C11" s="0" t="s">
        <v>526</v>
      </c>
      <c r="D11" s="0" t="s">
        <v>527</v>
      </c>
    </row>
    <row r="12" customFormat="false" ht="15" hidden="false" customHeight="false" outlineLevel="0" collapsed="false">
      <c r="A12" s="0" t="s">
        <v>528</v>
      </c>
      <c r="B12" s="0" t="s">
        <v>529</v>
      </c>
      <c r="C12" s="0" t="s">
        <v>530</v>
      </c>
      <c r="D12" s="0" t="s">
        <v>531</v>
      </c>
    </row>
    <row r="13" customFormat="false" ht="15" hidden="false" customHeight="false" outlineLevel="0" collapsed="false">
      <c r="A13" s="0" t="s">
        <v>532</v>
      </c>
      <c r="B13" s="0" t="s">
        <v>533</v>
      </c>
      <c r="C13" s="0" t="s">
        <v>534</v>
      </c>
      <c r="D13" s="0" t="s">
        <v>535</v>
      </c>
    </row>
    <row r="14" customFormat="false" ht="15" hidden="false" customHeight="false" outlineLevel="0" collapsed="false">
      <c r="A14" s="0" t="s">
        <v>536</v>
      </c>
      <c r="B14" s="0" t="s">
        <v>537</v>
      </c>
      <c r="C14" s="0" t="s">
        <v>538</v>
      </c>
      <c r="D14" s="0" t="s">
        <v>539</v>
      </c>
    </row>
    <row r="16" customFormat="false" ht="15" hidden="false" customHeight="false" outlineLevel="0" collapsed="false">
      <c r="A16" s="16" t="s">
        <v>540</v>
      </c>
      <c r="B16" s="16"/>
      <c r="C16" s="16"/>
      <c r="D16" s="16"/>
    </row>
    <row r="17" customFormat="false" ht="15" hidden="false" customHeight="false" outlineLevel="0" collapsed="false">
      <c r="A17" s="0" t="s">
        <v>541</v>
      </c>
      <c r="B17" s="0" t="s">
        <v>542</v>
      </c>
      <c r="C17" s="0" t="s">
        <v>543</v>
      </c>
      <c r="D17" s="0" t="s">
        <v>544</v>
      </c>
    </row>
    <row r="18" customFormat="false" ht="15" hidden="false" customHeight="false" outlineLevel="0" collapsed="false">
      <c r="A18" s="0" t="s">
        <v>545</v>
      </c>
      <c r="B18" s="0" t="s">
        <v>546</v>
      </c>
      <c r="C18" s="0" t="s">
        <v>547</v>
      </c>
      <c r="D18" s="0" t="s">
        <v>548</v>
      </c>
    </row>
    <row r="19" customFormat="false" ht="15" hidden="false" customHeight="false" outlineLevel="0" collapsed="false">
      <c r="A19" s="0" t="s">
        <v>549</v>
      </c>
      <c r="B19" s="0" t="s">
        <v>550</v>
      </c>
      <c r="C19" s="0" t="s">
        <v>551</v>
      </c>
      <c r="D19" s="0" t="s">
        <v>552</v>
      </c>
    </row>
    <row r="20" customFormat="false" ht="15" hidden="false" customHeight="false" outlineLevel="0" collapsed="false">
      <c r="A20" s="0" t="s">
        <v>553</v>
      </c>
      <c r="B20" s="0" t="s">
        <v>554</v>
      </c>
    </row>
    <row r="22" customFormat="false" ht="15" hidden="false" customHeight="false" outlineLevel="0" collapsed="false">
      <c r="A22" s="16" t="s">
        <v>555</v>
      </c>
      <c r="B22" s="16"/>
      <c r="C22" s="16"/>
      <c r="D22" s="16"/>
    </row>
    <row r="23" customFormat="false" ht="15" hidden="false" customHeight="false" outlineLevel="0" collapsed="false">
      <c r="A23" s="0" t="s">
        <v>556</v>
      </c>
      <c r="B23" s="0" t="s">
        <v>557</v>
      </c>
      <c r="C23" s="0" t="s">
        <v>558</v>
      </c>
      <c r="D23" s="0" t="s">
        <v>559</v>
      </c>
    </row>
    <row r="24" customFormat="false" ht="15" hidden="false" customHeight="false" outlineLevel="0" collapsed="false">
      <c r="A24" s="0" t="s">
        <v>560</v>
      </c>
      <c r="B24" s="0" t="s">
        <v>561</v>
      </c>
      <c r="C24" s="0" t="s">
        <v>562</v>
      </c>
      <c r="D24" s="0" t="s">
        <v>563</v>
      </c>
    </row>
    <row r="25" customFormat="false" ht="15" hidden="false" customHeight="false" outlineLevel="0" collapsed="false">
      <c r="A25" s="0" t="s">
        <v>564</v>
      </c>
      <c r="B25" s="0" t="s">
        <v>565</v>
      </c>
      <c r="C25" s="0" t="s">
        <v>566</v>
      </c>
      <c r="D25" s="0" t="s">
        <v>567</v>
      </c>
    </row>
    <row r="27" customFormat="false" ht="15" hidden="false" customHeight="false" outlineLevel="0" collapsed="false">
      <c r="A27" s="16" t="s">
        <v>568</v>
      </c>
      <c r="B27" s="16"/>
      <c r="C27" s="16"/>
      <c r="D27" s="16"/>
    </row>
    <row r="28" customFormat="false" ht="15" hidden="false" customHeight="false" outlineLevel="0" collapsed="false">
      <c r="A28" s="0" t="s">
        <v>569</v>
      </c>
      <c r="B28" s="0" t="s">
        <v>570</v>
      </c>
      <c r="C28" s="0" t="s">
        <v>571</v>
      </c>
      <c r="D28" s="0" t="s">
        <v>572</v>
      </c>
    </row>
    <row r="29" customFormat="false" ht="15" hidden="false" customHeight="false" outlineLevel="0" collapsed="false">
      <c r="A29" s="0" t="s">
        <v>573</v>
      </c>
      <c r="B29" s="0" t="s">
        <v>574</v>
      </c>
      <c r="C29" s="0" t="s">
        <v>575</v>
      </c>
      <c r="D29" s="0" t="s">
        <v>576</v>
      </c>
    </row>
    <row r="30" customFormat="false" ht="15" hidden="false" customHeight="false" outlineLevel="0" collapsed="false">
      <c r="A30" s="0" t="s">
        <v>577</v>
      </c>
    </row>
  </sheetData>
  <mergeCells count="7">
    <mergeCell ref="A1:D1"/>
    <mergeCell ref="A2:D2"/>
    <mergeCell ref="A4:D4"/>
    <mergeCell ref="A10:D10"/>
    <mergeCell ref="A16:D16"/>
    <mergeCell ref="A22:D2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7" min="5" style="0" width="20"/>
    <col collapsed="false" customWidth="true" hidden="false" outlineLevel="0" max="8" min="8" style="0" width="25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7" t="s">
        <v>578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12" t="s">
        <v>579</v>
      </c>
      <c r="B2" s="12"/>
      <c r="C2" s="12"/>
      <c r="D2" s="12"/>
      <c r="E2" s="12"/>
      <c r="F2" s="12"/>
      <c r="G2" s="12"/>
      <c r="H2" s="12"/>
      <c r="I2" s="12"/>
    </row>
    <row r="4" customFormat="false" ht="15" hidden="false" customHeight="false" outlineLevel="0" collapsed="false">
      <c r="A4" s="24" t="s">
        <v>580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false" outlineLevel="0" collapsed="false">
      <c r="A5" s="5" t="s">
        <v>581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5" t="s">
        <v>582</v>
      </c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5" t="s">
        <v>583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5" t="s">
        <v>584</v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5" t="s">
        <v>585</v>
      </c>
      <c r="B9" s="5"/>
      <c r="C9" s="5"/>
      <c r="D9" s="5"/>
      <c r="E9" s="5"/>
      <c r="F9" s="5"/>
      <c r="G9" s="5"/>
      <c r="H9" s="5"/>
      <c r="I9" s="5"/>
    </row>
    <row r="11" customFormat="false" ht="15" hidden="false" customHeight="false" outlineLevel="0" collapsed="false">
      <c r="A11" s="16" t="s">
        <v>586</v>
      </c>
      <c r="B11" s="16"/>
      <c r="C11" s="16"/>
      <c r="D11" s="16"/>
      <c r="E11" s="16"/>
      <c r="F11" s="16"/>
      <c r="G11" s="16"/>
      <c r="H11" s="16"/>
      <c r="I11" s="16"/>
    </row>
    <row r="12" customFormat="false" ht="28.35" hidden="false" customHeight="false" outlineLevel="0" collapsed="false">
      <c r="A12" s="8" t="s">
        <v>587</v>
      </c>
      <c r="B12" s="8" t="s">
        <v>588</v>
      </c>
      <c r="C12" s="8" t="s">
        <v>589</v>
      </c>
      <c r="D12" s="8" t="s">
        <v>25</v>
      </c>
      <c r="E12" s="8" t="s">
        <v>590</v>
      </c>
      <c r="F12" s="8" t="s">
        <v>591</v>
      </c>
      <c r="G12" s="8" t="s">
        <v>592</v>
      </c>
      <c r="H12" s="8" t="s">
        <v>71</v>
      </c>
      <c r="I12" s="8" t="s">
        <v>593</v>
      </c>
    </row>
    <row r="13" customFormat="false" ht="15" hidden="false" customHeight="false" outlineLevel="0" collapsed="false">
      <c r="A13" s="9" t="s">
        <v>594</v>
      </c>
      <c r="B13" s="10"/>
      <c r="C13" s="10" t="s">
        <v>595</v>
      </c>
      <c r="D13" s="10" t="s">
        <v>596</v>
      </c>
      <c r="E13" s="10"/>
      <c r="F13" s="10"/>
      <c r="G13" s="10"/>
      <c r="H13" s="10"/>
      <c r="I13" s="25"/>
    </row>
    <row r="14" customFormat="false" ht="15" hidden="false" customHeight="false" outlineLevel="0" collapsed="false">
      <c r="A14" s="9" t="s">
        <v>186</v>
      </c>
      <c r="B14" s="10"/>
      <c r="C14" s="10" t="s">
        <v>597</v>
      </c>
      <c r="D14" s="10"/>
      <c r="E14" s="10"/>
      <c r="F14" s="10"/>
      <c r="G14" s="10"/>
      <c r="H14" s="10"/>
      <c r="I14" s="25"/>
    </row>
    <row r="15" customFormat="false" ht="15" hidden="false" customHeight="false" outlineLevel="0" collapsed="false">
      <c r="A15" s="9" t="s">
        <v>598</v>
      </c>
      <c r="B15" s="10"/>
      <c r="C15" s="10" t="s">
        <v>599</v>
      </c>
      <c r="D15" s="10" t="s">
        <v>600</v>
      </c>
      <c r="E15" s="10"/>
      <c r="F15" s="10"/>
      <c r="G15" s="10"/>
      <c r="H15" s="10"/>
      <c r="I15" s="25"/>
    </row>
    <row r="16" customFormat="false" ht="15" hidden="false" customHeight="false" outlineLevel="0" collapsed="false">
      <c r="A16" s="9"/>
      <c r="B16" s="10"/>
      <c r="C16" s="10"/>
      <c r="D16" s="10"/>
      <c r="E16" s="10"/>
      <c r="F16" s="10"/>
      <c r="G16" s="10"/>
      <c r="H16" s="10"/>
      <c r="I16" s="25"/>
    </row>
    <row r="17" customFormat="false" ht="15" hidden="false" customHeight="false" outlineLevel="0" collapsed="false">
      <c r="A17" s="9"/>
      <c r="B17" s="10"/>
      <c r="C17" s="10"/>
      <c r="D17" s="10"/>
      <c r="E17" s="10"/>
      <c r="F17" s="10"/>
      <c r="G17" s="10"/>
      <c r="H17" s="10"/>
      <c r="I17" s="25"/>
    </row>
    <row r="19" customFormat="false" ht="15" hidden="false" customHeight="false" outlineLevel="0" collapsed="false">
      <c r="A19" s="12" t="s">
        <v>601</v>
      </c>
      <c r="B19" s="12"/>
      <c r="C19" s="12"/>
      <c r="D19" s="12"/>
      <c r="E19" s="12"/>
      <c r="F19" s="12"/>
      <c r="G19" s="12"/>
      <c r="H19" s="12"/>
      <c r="I19" s="12"/>
    </row>
  </sheetData>
  <mergeCells count="10">
    <mergeCell ref="A1:I1"/>
    <mergeCell ref="A2:I2"/>
    <mergeCell ref="A4:I4"/>
    <mergeCell ref="A5:I5"/>
    <mergeCell ref="A6:I6"/>
    <mergeCell ref="A7:I7"/>
    <mergeCell ref="A8:I8"/>
    <mergeCell ref="A9:I9"/>
    <mergeCell ref="A11:I11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30"/>
  </cols>
  <sheetData>
    <row r="1" customFormat="false" ht="17.35" hidden="false" customHeight="false" outlineLevel="0" collapsed="false">
      <c r="A1" s="7" t="s">
        <v>602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12" t="s">
        <v>603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8" t="s">
        <v>604</v>
      </c>
      <c r="B4" s="8" t="s">
        <v>64</v>
      </c>
      <c r="C4" s="8" t="s">
        <v>605</v>
      </c>
      <c r="D4" s="8" t="s">
        <v>124</v>
      </c>
      <c r="E4" s="8" t="s">
        <v>606</v>
      </c>
      <c r="F4" s="8" t="s">
        <v>607</v>
      </c>
    </row>
    <row r="5" customFormat="false" ht="15" hidden="false" customHeight="false" outlineLevel="0" collapsed="false">
      <c r="A5" s="26" t="s">
        <v>608</v>
      </c>
      <c r="B5" s="26"/>
      <c r="C5" s="26"/>
      <c r="D5" s="26"/>
      <c r="E5" s="26"/>
      <c r="F5" s="26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</sheetData>
  <mergeCells count="3">
    <mergeCell ref="A1:F1"/>
    <mergeCell ref="A2:F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35"/>
  </cols>
  <sheetData>
    <row r="1" customFormat="false" ht="17.35" hidden="false" customHeight="false" outlineLevel="0" collapsed="false">
      <c r="A1" s="7" t="s">
        <v>609</v>
      </c>
      <c r="B1" s="7"/>
      <c r="C1" s="7"/>
      <c r="D1" s="7"/>
      <c r="E1" s="7"/>
    </row>
    <row r="3" customFormat="false" ht="15" hidden="false" customHeight="false" outlineLevel="0" collapsed="false">
      <c r="A3" s="8" t="s">
        <v>610</v>
      </c>
      <c r="B3" s="8" t="s">
        <v>611</v>
      </c>
      <c r="C3" s="8" t="s">
        <v>612</v>
      </c>
      <c r="D3" s="8" t="s">
        <v>613</v>
      </c>
      <c r="E3" s="8" t="s">
        <v>614</v>
      </c>
    </row>
    <row r="4" customFormat="false" ht="60" hidden="false" customHeight="true" outlineLevel="0" collapsed="false">
      <c r="A4" s="9" t="s">
        <v>27</v>
      </c>
      <c r="B4" s="27"/>
      <c r="C4" s="27"/>
      <c r="D4" s="27"/>
      <c r="E4" s="27"/>
    </row>
    <row r="5" customFormat="false" ht="60" hidden="false" customHeight="true" outlineLevel="0" collapsed="false">
      <c r="A5" s="9" t="s">
        <v>30</v>
      </c>
      <c r="B5" s="27"/>
      <c r="C5" s="27"/>
      <c r="D5" s="27"/>
      <c r="E5" s="27"/>
    </row>
    <row r="6" customFormat="false" ht="60" hidden="false" customHeight="true" outlineLevel="0" collapsed="false">
      <c r="A6" s="9" t="s">
        <v>36</v>
      </c>
      <c r="B6" s="27"/>
      <c r="C6" s="27"/>
      <c r="D6" s="27"/>
      <c r="E6" s="27"/>
    </row>
    <row r="7" customFormat="false" ht="60" hidden="false" customHeight="true" outlineLevel="0" collapsed="false">
      <c r="A7" s="9" t="s">
        <v>38</v>
      </c>
      <c r="B7" s="27"/>
      <c r="C7" s="27"/>
      <c r="D7" s="27"/>
      <c r="E7" s="2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2025-12-23T09:38:44Z</dcterms:created>
  <dc:creator>openpyxl</dc:creator>
  <dc:description/>
  <dc:language>en-US</dc:language>
  <cp:lastModifiedBy/>
  <dcterms:modified xsi:type="dcterms:W3CDTF">2025-12-23T09:38:44Z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